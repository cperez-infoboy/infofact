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 sheetId="1" r:id="rId4"/>
    <sheet state="visible" name="NECESIDADES FUNCIONALES" sheetId="2" r:id="rId5"/>
    <sheet state="visible" name="NECESIDADES TÉCNICAS" sheetId="3" r:id="rId6"/>
  </sheets>
  <externalReferences>
    <externalReference r:id="rId7"/>
  </externalReferences>
  <definedNames>
    <definedName name="estado">#REF!</definedName>
  </definedNames>
  <calcPr/>
  <extLst>
    <ext uri="GoogleSheetsCustomDataVersion2">
      <go:sheetsCustomData xmlns:go="http://customooxmlschemas.google.com/" r:id="rId8" roundtripDataChecksum="co8pCUljmQkNaFqrifAe9wJSRhVDt0Q09DSNcefRgYY="/>
    </ext>
  </extLst>
</workbook>
</file>

<file path=xl/sharedStrings.xml><?xml version="1.0" encoding="utf-8"?>
<sst xmlns="http://schemas.openxmlformats.org/spreadsheetml/2006/main" count="1011" uniqueCount="500">
  <si>
    <t>Marque con una "X", si la(s) solución(es) que Ud. ofrece, cubre cada necesidad detallada por TCC, de acuerdo a las siguientes opciones:</t>
  </si>
  <si>
    <t>Opción</t>
  </si>
  <si>
    <t>Tipo de soporte por funcionalidad</t>
  </si>
  <si>
    <t>A</t>
  </si>
  <si>
    <t>Soportado al entregarse "listo para utilizarse"</t>
  </si>
  <si>
    <t>B</t>
  </si>
  <si>
    <t>Soportado mediante desarrollo sin costo</t>
  </si>
  <si>
    <t>C</t>
  </si>
  <si>
    <t>Soportado mediante desarrollo con costo adicional ( este costo deberá ser tenido en cuenta en la propuesta economica)</t>
  </si>
  <si>
    <t>NS</t>
  </si>
  <si>
    <t>No soportado</t>
  </si>
  <si>
    <t xml:space="preserve">Aplicación ruta /Req funcionales </t>
  </si>
  <si>
    <t>Funcionalidad /Login</t>
  </si>
  <si>
    <t xml:space="preserve">Funcionalidad/ Servicios del dia </t>
  </si>
  <si>
    <t>Flujo de aplicación/ Servicio de recogidas</t>
  </si>
  <si>
    <t>Flujo de aplicación/ Servicio entregas</t>
  </si>
  <si>
    <t>Funcionalidad/ Cotización de servicio</t>
  </si>
  <si>
    <t>Reporte BI/Modulo Administrativo</t>
  </si>
  <si>
    <t xml:space="preserve">Reporte de recaudo </t>
  </si>
  <si>
    <t xml:space="preserve">Funcionalidad /Cierre de ruta </t>
  </si>
  <si>
    <t xml:space="preserve">Funcionalidades varias </t>
  </si>
  <si>
    <t>Proyecto diseño de aplicación ruta -Req funcionales</t>
  </si>
  <si>
    <t>Proveedor</t>
  </si>
  <si>
    <t>Grupo / Modulo</t>
  </si>
  <si>
    <t>Necesidad</t>
  </si>
  <si>
    <t>Descripción</t>
  </si>
  <si>
    <t xml:space="preserve">Anexos de referencia </t>
  </si>
  <si>
    <t>Tipo de soporte funcionalidad</t>
  </si>
  <si>
    <t>tiempo estimado de implementación ( en horas)</t>
  </si>
  <si>
    <t xml:space="preserve">Costo asociado desarrollo adicional </t>
  </si>
  <si>
    <t>Observaciones</t>
  </si>
  <si>
    <t>Score</t>
  </si>
  <si>
    <t>Login de varios usuarios a un mismo ID de vehiculo</t>
  </si>
  <si>
    <t>Se requiere habilitar la posibilidad de que múltiples usuarios puedan iniciar sesión y operar simultáneamente sobre un mismo medio logístico (Vehiculo de ultima milla), permitiendo la ejecución paralela de varios servicios (entregas y recogidas) desde dicho medio.
Esta necesidad se fundamenta en que la planeación de las órdenes de trabajo está asociada al identificador del móvil (ID del medio logístico) y no a un usuario específico. En consecuencia, cualquier miembro de la tripulación autorizado podrá iniciar sesión y ejecutar uno o varios servicios asignados a ese ID de móvil, sin restricciones por usuario.
Un ejemplo de la necesidad, se realiza la planeación al vehículo 13478, entonces al logearse 1 o n usuarios en la aplicación deben relacionar el ID del vehículo sobre el cual van a ingresar, visualizar y ejecutar la orden de trabajo</t>
  </si>
  <si>
    <t xml:space="preserve">Remitirse a :1)Documento: Referencia diagrama de procesos- inciso.1.Flujo de ingreso a servicios del día en la aplicación 
2)Documento:Mockup de referencia- Mockup 1 Ingreso a la aplicación </t>
  </si>
  <si>
    <t>Validaciones de inicio de sesión</t>
  </si>
  <si>
    <t>Se requiere que la aplicación implemente validaciones de inicio de sesión basadas en los parámetros ingresados por el usuario, con el fin de garantizar la integridad operativa y la correcta asociación entre usuarios, ciudad de operación y medios logísticos (vehículo). Es necesario que realice la siguiente validación
1) Usuario válido: Verificar que el usuario exista y se encuentre activo en el directorio corporativo de TCC.</t>
  </si>
  <si>
    <t>Se requiere que la aplicación implemente validaciones de inicio de sesión basadas en los parámetros ingresados por el usuario, con el fin de garantizar la integridad operativa y la correcta asociación entre usuarios, ciudad de operación y medios logísticos (vehículo). Es necesario que realice la siguiente validación
2) Medio logístico asociado: Confirmar que el identificador del vehículo ingresado exista en el maestro de vehículos y esté en estado activo.</t>
  </si>
  <si>
    <t>Se requiere que la aplicación implemente validaciones de inicio de sesión basadas en los parámetros ingresados por el usuario, con el fin de garantizar la integridad operativa y la correcta asociación entre usuarios, ciudad de operación y medios logísticos (vehículo). Es necesario que realice la siguiente validación
3 )Consistencia operativa: Validar que el centro de operación asignado al usuario coincida con el centro de operación del medio logístico al que intenta acceder.</t>
  </si>
  <si>
    <t>Se requiere que la aplicación implemente validaciones de inicio de sesión basadas en los parámetros ingresados por el usuario, con el fin de garantizar la integridad operativa y la correcta asociación entre usuarios, ciudad de operación y medios logísticos (vehículo). Es necesario que realice la siguiente validación
4 )Que el usuario logeado, en el momento de relacionar el ID del medio logístico (vehículo), la aplicación realice la validación, de que actualmente no este logeado en otro medio logístico (vehículo). Para evitar simultaneidades en 2 órdenes de trabajo</t>
  </si>
  <si>
    <t>Se requiere que consecuente a la validaciones del login,  que evidencie el inicio exitoso de la orden de trabajo, mediante una mensaje de confirmación</t>
  </si>
  <si>
    <t>Se requiere que consecuente a la validaciones del login, en caso de no ser exitosa que se evidencie un mensaje explicando porque no fue posible el ingreso. Relacionando cual fue la validación que fallo</t>
  </si>
  <si>
    <t>A partir del login exitoso, es necesario capturar el registro de los usuarios que se logean y se relacionan a un medio logístico (Vehículo). Para que este en capacidad de mirar por trazabilidad que tripulación desarrollo la orden de trabajo</t>
  </si>
  <si>
    <t>Autenticación de login de ingreso</t>
  </si>
  <si>
    <t>La aplicación debe permitir la implementación de un mecanismo de doble factor de autenticación (2FA) como medida de seguridad adicional en el proceso de recuperación de contraseña. Esta funcionalidad debe activarse cuando un usuario indique que ha olvidado su contraseña, y debe contemplar al menos los siguientes elementos:
Validación del usuario mediante un canal alternativo previamente registrado (correo electrónico corporativo o número de teléfono móvil).
Envío de un código de verificación de un solo uso (OTP) al canal seleccionado.
Solicitud y validación del código OTP antes de permitir el restablecimiento de la contraseña.</t>
  </si>
  <si>
    <t>La aplicación deberá incluir un módulo de onboarding digital que permita registrar, validar y capacitar a nuevos usuarios logísticos (conductores, auxiliares, coordinadores) antes de habilitar su acceso operativo. Este proceso debe ser guiado, auditable y adaptable según el rol asignado.</t>
  </si>
  <si>
    <t>Visualización de orden de trabajo</t>
  </si>
  <si>
    <t>Permitir la visualización de una E-Card o tarjeta digital informativa que consolide los principales datos operativos de la ruta asignada. Esta E-Card debe presentarse de forma clara, accesible y en tiempo real para los usuarios autorizados, e incluir en su diseño como mínimo los siguientes elementos:
Nombre de la ruta asignada.
Cantidad total de paradas programadas.
Número de servicios de entrega asociados a la ruta.
Número de servicios de recogida asignados.
Valor total de dinero a recaudar durante la ejecución de la ruta, por producto y forma de pago</t>
  </si>
  <si>
    <t>Remitirse a: 1)Documento: referencia diagrama de procesos- inciso.1.Flujo de ingreso a servicios del día en la aplicación 
2)Documento:Mockup de referencia- Mockup 2 Orden de trabajo</t>
  </si>
  <si>
    <t>Visualización de servicios (Entrega y Recogidas)</t>
  </si>
  <si>
    <t xml:space="preserve">La solución debe permitir la visualización dinámica y en tiempo real del listado de órdenes de trabajo, incluyendo el estado actualizado de cada uno de los servicios asociados. Esta funcionalidad debe contemplar:
1) Visualización del estado de los servicios, diferenciando claramente si se encuentran en estado pendiente, con novedad o cumplido.
</t>
  </si>
  <si>
    <t>Remitirse a : 1)Documento: referencia diagrama de procesos- inciso.1.Flujo de ingreso a servicios del día en la aplicación 
2)Documento:Mockup de referencia- Mockup 3 Servicios del dia</t>
  </si>
  <si>
    <t>La solución debe permitir la visualización dinámica y en tiempo real del listado de órdenes de trabajo, incluyendo el estado actualizado de cada uno de los servicios asociados. Esta funcionalidad debe contemplar:
2)Actualización dinámica, de modo que a medida que se ejecutan los servicios, se reflejen los cambios en el estado y en la secuencia de ejecución.</t>
  </si>
  <si>
    <t>La solución debe permitir la visualización dinámica y en tiempo real del listado de órdenes de trabajo, incluyendo el estado actualizado de cada uno de los servicios asociados. Esta funcionalidad debe contemplar:
3) Representación de la secuencia de planeación, mostrando el orden previsto de ejecución de los servicios según la lógica integrada desde la planeación.</t>
  </si>
  <si>
    <t>Funcionalidad de filtro (Entrega y Recogidas)</t>
  </si>
  <si>
    <t xml:space="preserve">La solución debe permitir aplicar filtros dinámicos sobre el listado de servicios asociados a las órdenes de trabajo, con el fin de facilitar la consulta, trazabilidad y gestión operativa. Los filtros mínimos requeridos son:
Por estado del servicio: permitir la visualización según si el servicio está pendiente, ejecutado o presenta novedad.
Por tipo de proceso: permitir filtrar por servicios de recogida o servicios de entrega.
Por variables específicas del servicio, tales como:
ID del servicio
Nombre del remitente
Nombre del destinatario
Forma de pago contado en origen, contado en destino y credito en origen o destino </t>
  </si>
  <si>
    <t>Es necesario tener la funcionalidad de filtro aplicado al listado de servicios asociados a la orden de trabajo. Se requiere realizar filtro por:
1) Por estado del servicio: permitir la visualización según si el servicio está pendiente, ejecutado o presenta novedad.</t>
  </si>
  <si>
    <t>Es necesario tener la funcionalidad de filtro aplicado al listado de servicios asociados a la orden de trabajo. Se requiere realizar filtro por:
2) Por tipo de proceso: permitir filtrar por servicios de recogida o servicios de entrega.</t>
  </si>
  <si>
    <t>Es necesario tener la funcionalidad de filtro aplicado al listado de servicios asociados a la orden de trabajo. Se requiere realizar filtro por:
3) Por tipo de proceso: permitir filtrar por servicios de recogida o servicios de entrega.</t>
  </si>
  <si>
    <t xml:space="preserve">Es necesario tener la funcionalidad de filtro aplicado al listado de servicios asociados a la orden de trabajo. Se requiere realizar filtro por:
4) Por variables específicas del servicio, tales como:
ID del servicio
Nombre del remitente
Nombre del destinatario
Forma de pago contado en origen, contado en destino y crédito en origen o destino </t>
  </si>
  <si>
    <t>Visualización de servicios (Entregas)</t>
  </si>
  <si>
    <t xml:space="preserve">Por cada servicio de entrega en el listado de servicios, se visualice de forma clara y estructurada la siguiente información operativa:
1) Nombre del cliente destinatario
Dirección de entrega
Observaciones asociadas al servicio
Número de contacto del destinatario
Forma de pago del servicio (por ejemplo: crédito, recaudo en origen o en destino)
Identificación de subproducto, en caso de tratarse de un servicio con características especiales como logística inversa u otros tipos definidos por la operación
</t>
  </si>
  <si>
    <t>Remitirse a: 1)Documento: referencia diagrama de procesos &gt; inciso.2.Flujo de entrega y cumplimiento de servicio 
2)Documento:Mockup de referencia- Mockups 5. pantalla servicio de entrega</t>
  </si>
  <si>
    <t>Por cada servicio de entrega, en el listado de servicios, se visualice de forma clara y estructurada los siguientes iconos funcionales:
2) 
Ícono de mapa: acceso a la funcionalidad de navegación (cómo llegar) hacia la dirección del destinatario.
Ícono de teléfono: ejecución directa de llamada al número de contacto del destinatario.
Ícono de información: visualización de información complementaria del servicio, incluyendo datos del remitente, detalles del destinatario, unidades asociadas al servicio y cualquier otra información relevante para la operación.</t>
  </si>
  <si>
    <t>Visualización de servicios (Recogidas)</t>
  </si>
  <si>
    <t>Por cada servicio de recogida en el listado de servicios, se visualice de forma clara y estructurada la siguiente información operativa:
1)Nombre del cliente remitente
Dirección de despacho
Observaciones asociadas al servicio
Número de contacto del remitente
Forma de pago del servicio (por ejemplo: crédito, recaudo en origen o en destino)
Identificación de tipo de recogida: En caso de tratarse de un servicio con remesas asociadas, o un servicio sin servicios asociados donde debes crear servicios, o servicio en el cual debes sincronizar para relacionar servicios creados por el cliente</t>
  </si>
  <si>
    <t>Remitirse a: 1)Documento: referencia diagrama de procesos &gt; inciso.3.Flujo de recogida y cumplimiento de servicio  
2)Documento:Mockup de referencia- Mockups 6. pantalla servicio de recolección</t>
  </si>
  <si>
    <t>Por cada servicio de recogida en el listado de servicios, se visualice de forma clara y estructurada los siguientes iconos informativos
2) Ícono de mapa: acceso a la funcionalidad de navegación (cómo llegar) hacia la dirección del destinatario.
Ícono de teléfono: ejecución directa de llamada al número de contacto del destinatario.
Ícono de información: visualización de información complementaria del servicio, incluyendo datos del remitente, detalles del destinatario, unidades asociadas al servicio y cualquier otra información relevante para la operación.</t>
  </si>
  <si>
    <t>Visualización de ejecución de orden de trabajo</t>
  </si>
  <si>
    <t>En la pantalla de servicios del dia en la parte superior cuidando la experiencia de usuario necesitamos una Card donde visualice el progreso de la orden de trabajo del día, que se segmente el nombre de la ruta, cantidad de paradas, cantidad de servicios de entregas, de recogidas, lo anterior separado por servicios faltantes, realizadas y con novedad, dinero recaudado, dinero pendiente por recaudar  dicho comportamiento debe ser interactivo mostrando el porcentaje de progreso a medida que se ejecuten los servicios.</t>
  </si>
  <si>
    <t>Opcion de llamada</t>
  </si>
  <si>
    <t>Opción genere llamada telefónica al cliente destinatario o remitente según sea el servicio, dicha opción debe estar ubicada en cada servicio listado en servicios del día</t>
  </si>
  <si>
    <t>Opción  de navegación en mapa</t>
  </si>
  <si>
    <t>opción que permita a partir desde la dirección de la parada, ejecutar la navegación en mapa accionando la funcionalidad de cómo llegar, la opción debe aparecer listada en cada servicio</t>
  </si>
  <si>
    <t>Opción de notificación whatsapp</t>
  </si>
  <si>
    <t>Opción de enviar mensajes parametrizables a demanda por el usuario, al cliente destinatario o remitente por medio del celular relacionado al servicio. La opción debe estar listada en cada uno de los servicios. Las opciones de mensajes parametrizables se relacionan a cercanía de la parada, alguna novedad o duda sobre el servicio, estos mensajes deben quedar parametrizables desde el módulo de parámetros de notificaciones</t>
  </si>
  <si>
    <t>Opción visualización de servicios del dia en mapa</t>
  </si>
  <si>
    <t>Opción en la pantalla de servicios del día, que lo lleve a la funcionalidad de navegación en mapa</t>
  </si>
  <si>
    <t>Al ingresar a la navegación en mapa es necesaria la visualización de los servicios del día georreferenciados en el mapa, de acuerdo a la dirección de destino para las entregas, y de despacho para las recogidas.</t>
  </si>
  <si>
    <t>Remitirse a : 1)Documento: referencia diagrama de procesos- inciso.1.Flujo de ingreso a servicios del día en la aplicación 
2)Documento:Mockup de referencia- Mockup 4 Servicios del dia navegación en mapa</t>
  </si>
  <si>
    <t>Que cada geo punto de entrega tenga la opción dril Down donde se visualice la información del servicio, además  las opciones de cómo llegar o contactar. Con relación a la información del servicio debe aparecer las siguientes variables:
1) Nombre del cliente destinatario
Dirección de entrega
Observaciones asociadas al servicio
Número de contacto del destinatario
Forma de pago del servicio (por ejemplo: crédito, recaudo en origen o en destino)
Identificación de subproducto, en caso de tratarse de un servicio con características especiales como logística inversa u otros tipos definidos por la operación</t>
  </si>
  <si>
    <t>Que cada Geo punto de recogida tenga la opción dril Down donde se visualice la información del servicio, además  las opciones de cómo llegar o contactar. Con relación a la información del servicio debe aparecer las siguientes variables:
1)Nombre del cliente remitente
Dirección de despacho
Observaciones asociadas al servicio
Número de contacto del remitente
Forma de pago del servicio (por ejemplo: crédito, recaudo en origen o en destino)
Identificación de tipo de recogida: En caso de tratarse de un servicio con remesas asociadas, o un servicio sin servicios asociados donde debes crear servicios, o servicio en el cual debes sincronizar para relacionar servicios creados por el cliente</t>
  </si>
  <si>
    <t>Para los servicios de entrega espero que visualmente se evidencie los estados de entregada, pendiente o con novedad, además a medida que se vaya ejecutando cambie y se visualice el estado</t>
  </si>
  <si>
    <t>Para los servicios de recogida espero que visualmente se evidencie los estados de realizada, pendiente o con novedad además a medida que se vaya ejecutando cambie y se visualice el estado</t>
  </si>
  <si>
    <t xml:space="preserve">Opción de cumplir entrega </t>
  </si>
  <si>
    <t>En cada servicio de entrega, tenga la opción que lo lleve a ejecutar el inicio de flujo de entrega</t>
  </si>
  <si>
    <t xml:space="preserve">Opción de cumplir recogida </t>
  </si>
  <si>
    <t>En cada servicio de recogida, tenga la opción  que lo lleve a ejecutar el inicio de flujo de recogida</t>
  </si>
  <si>
    <t>Opción de plantear novedad de no entrega</t>
  </si>
  <si>
    <t>En cada servicio de entrega, tenga la opción que lo lleve a ejecutar el proceso de planteamiento de novedad</t>
  </si>
  <si>
    <t>Remitirse a: 1)Documento: referencia diagrama de procesos &gt; inciso.5.Planteamiento de novedad en la entrega, proceso de distribución
2)Documento:Mockup de referencia- Mockups 5. pantalla servicio de entrega</t>
  </si>
  <si>
    <t>Opción de plantear novedad de no recolección</t>
  </si>
  <si>
    <t>En cada servicio de recogida, tenga la opción que lo lleve a ejecutar el proceso de planteamiento de novedad (Mirar anexo)</t>
  </si>
  <si>
    <t>Remitirse a: 1)Documento: referencia diagrama de procesos &gt; inciso.6.Planteamiento de motivo de no recolección, proceso de recolección servicio  
2)Documento:Mockup de referencia- Mockups 6. pantalla servicio de recolección</t>
  </si>
  <si>
    <t>Opción de actualizar listado de servicios</t>
  </si>
  <si>
    <t>Opción que permita refrescar o actualizar el listado de servicios asociados al móvil por parte del colaborador. Esperamos que tenga la opción de realizar la actualización a demanda refrescando el listado de servicios asociados (Recogidas y entregas asociadas a la orden de trabajo)</t>
  </si>
  <si>
    <t>Opción refresh,  actualización listado de servicios</t>
  </si>
  <si>
    <t>Que se genere automáticamente el refresh, esperamos que se evidencie los servicios nuevos asociados a la orden de trabajo de manera automática (Recogidas y entregas), cuando se asocien desde planeación durante la ejecución del proceso de entrega y recogida luego de iniciada el proceso de distribución</t>
  </si>
  <si>
    <t>Visualización de conexión online arquitectura</t>
  </si>
  <si>
    <t>Opción de validación de conexión en línea o no conexión al sistema (Aplicación)</t>
  </si>
  <si>
    <t>Notificaciones generadas por la aplicación durante desplazamiento  (Entrega y Recogidas)</t>
  </si>
  <si>
    <t>Si durante el proceso de ejecución de la ruta, desde planeación se asocia un nuevo servicio de recogida o entrega a la orden de trabajo  se requiere que la aplicación genere notificación al usuario de la aplicación notificando la asociación de dicho servicio.</t>
  </si>
  <si>
    <t>2)Documento :Mockup de referencia -Mockup 13 notificación de nuevo servicio planeado</t>
  </si>
  <si>
    <t>Notificaciones durante desplazamiento  (Entrega y Recogidas)</t>
  </si>
  <si>
    <t>Durante el proceso de ejecución de la ruta, necesitamos que la aplicación genere notificación al usuario cuando algún servicio este a 30 min de cumplir con franjas horarias de entrega o recolección</t>
  </si>
  <si>
    <t>Durante la ejecución, cuando termine de certificar una entrega o recogida e indique próxima parada a ser atendida espero que la aplicación le genere una notificación al cliente remitente o destinatario relacionado a proximidad a entrega de su servicio</t>
  </si>
  <si>
    <t xml:space="preserve">Remitirse a:1)Documento: referencia diagrama de procesos- inciso.1.Flujo de entrega y cumplimiento de servicio
2)Documento:Mockup de referencia- Mockup 9 Certificación del servicio </t>
  </si>
  <si>
    <t>Esperamos que se tenga la opción de parametrizar notificaciones y/o mensajes que se requiera enviar al usuario durante la ejecución de su orden de trayecto, se forma masiva</t>
  </si>
  <si>
    <t>Pantalla inicio de ejecución de entrega -Opción de no realizar entrega</t>
  </si>
  <si>
    <t>Es necesario que al ejecutar la opción lo lleve al  planteamiento de novedad (Motivo de no entrega)</t>
  </si>
  <si>
    <t xml:space="preserve">Remitirse a:1)Documento: referencia diagrama de procesos- inciso.5.Flujo.Planteamiento de novedad en la entrega, proceso de distribución
2)Documento:Mockup de referencia- Mockup 10 Planteamiento de novedad </t>
  </si>
  <si>
    <t xml:space="preserve">Pantalla inicio de ejecución de entrega -Opción información detalle </t>
  </si>
  <si>
    <t>Opción que al ejecutar lo lleve a observar información detalle del servicio relacionando la siguiente información:
1.Nombe del remitente
2.ID remitente 
3.Dirección remitente
4-Nombre destinatario
5.Id de destinatario
6.Ciudad destino
7.Ciudad origen
8.Cantidad de unidades 
9.Forma de pago 
10, Subproducto servicio 
11.Telefono remitente
12, Telefono destinatario
13, Ultima novedad
14, Solución novedad
15.Observación novedad
16, Unidad de negocio
17, Licencia</t>
  </si>
  <si>
    <t>Pantalla inicio de ejecució de entrega -Opción unidades servicio</t>
  </si>
  <si>
    <t xml:space="preserve">Necesitamos que al ejecutar la opción de ver las unidades, se evidencie la siguiente información por unidad:
1.Codigo IUP de la unidad 
2.Tipo de unidad
3.Clase de empaque
4.Peso
5.Volumen
6.Notas
</t>
  </si>
  <si>
    <t xml:space="preserve">Pantalla inicio de ejecució de entrega - Opción lectura de unidades </t>
  </si>
  <si>
    <t>Al ejecutar la opción de realizar entrega espero que lo lleve a la opción de lectura de unidades a entregar. Donde visualice el listado de unidades asociadas a la remesa relacionando la siguiente información por unidad:
1, Código IUP de la unidad 
2.UEN 
3.Peso y volumen</t>
  </si>
  <si>
    <t xml:space="preserve">Pantalla inicio de ejecución de entrega </t>
  </si>
  <si>
    <t>Se cuente con una pantalla de inicio proceso de entrega donde tenga las opciones de realizar entrega, no realizar, información detalle del servicio, unidades, opción ubicación mapa</t>
  </si>
  <si>
    <t>Pantalla inicio de ejecución de entrega -Validaciones de servicio</t>
  </si>
  <si>
    <t xml:space="preserve">Es necesario que realice validaciones antes de ejecutar un servicio tales como:  si tiene conceptos de recaudo de dinero asociados al servicio </t>
  </si>
  <si>
    <t xml:space="preserve">Es necesario que realice validaciones antes de ejecutar un servicio tales como:  Si el servicio tiene una novedad activa </t>
  </si>
  <si>
    <t xml:space="preserve">Ejecucción de cumplimiento de entrega- Funcionalidad de recaudo de Dinero-Metodos de pago </t>
  </si>
  <si>
    <t xml:space="preserve">Opción de recaudo de dinero, que evidencie los detalles del cobro es decir los conceptos de liquidación del servicio  </t>
  </si>
  <si>
    <t>Remitirse a: 1)Documento: referencia diagrama de procesos &gt; inciso.7.Flujo de recaudo de dinero
2)Documento:Mockup de referencia- Mockups 8. Recaudo de dinero</t>
  </si>
  <si>
    <t>Ejecución de cumplimiento de entrega- Funcionalidad de recaudo de Dinero-Métodos de pago</t>
  </si>
  <si>
    <t>Que la opción permita el recaudo de dinero pagos en  Efectivo o  Integración con pasarelas de pago para procesar pagos con tarjetas.</t>
  </si>
  <si>
    <t>Funcionalidad de recaudo de Dinero-métodos de pago</t>
  </si>
  <si>
    <t>La aplicación registre cada transacción relacionando información de pago e integre con el collection management</t>
  </si>
  <si>
    <t>Implementar un sistema de generación de alertas en tiempo real que permita:
1) Confirmar pagos recibidos y detectar pagos pendientes.</t>
  </si>
  <si>
    <t>Implementar un sistema de generación de alertas en tiempo real que permita:
2) Recibir automáticamente la información del recaudo.</t>
  </si>
  <si>
    <t>Implementar un sistema de generación de alertas en tiempo real que permita:
3) Notificar de forma inmediata a la aplicación correspondiente sobre el estado del pago.</t>
  </si>
  <si>
    <t>Ejecución Cumplimiento de entregas- opción de lectura de unidades</t>
  </si>
  <si>
    <t>La aplicación tenga la opción de realizar validaciones de reglas, en este caso que realice validación del estado del servicio si tiene novedad (Motivo de no entrega) activa antes de ejecutar la lectura de unidades, y que asuma acciones en caso de estar o no activa.</t>
  </si>
  <si>
    <t>La aplicación tenga la opción de realizar validaciones, para este caso realice la validación del servicio si tiene conceptos de recaudo de dinero</t>
  </si>
  <si>
    <t xml:space="preserve">Al ejecutar la lectura de la unidad se actualice el contador de unidades a leer </t>
  </si>
  <si>
    <t>Al ejecutar la captura de la unidad la aplicación debe capturar usuario, hora, latitud, longitud, vehículo, capturar si leyó o no unidades, si leyó la totalidad de las mismas</t>
  </si>
  <si>
    <t>Es necesario que la lectura de unidades se pueda realizar por Código de lectura o utilizando la cámara del dispositivo. Los códigos de lectura pueden ser de barras o QR</t>
  </si>
  <si>
    <t>Ejecucción cumplimiento de entregas- Certificación de la entrega a destinatario</t>
  </si>
  <si>
    <t xml:space="preserve">Opción que tenga los campos de captura de información y características relacionado a lo siguiente:
1) Nombre de quien recibe
2)Documento de identidad
3)Numero de contacto (Celular)
4)Correo electrónico 
5)Observaciones
</t>
  </si>
  <si>
    <t>Ejecución cumplimiento de entregas- Certificación de la entrega a destinatario</t>
  </si>
  <si>
    <t>La pantalla debe de tener la opción de captura y almacenamiento de fotografía, la aplicación debe tener la capacidad de capturar máx. 10 fotografías</t>
  </si>
  <si>
    <t>La pantalla debe de tener la opción de captura y almacenamiento de firma digital</t>
  </si>
  <si>
    <t>Opción que permita seleccionar de acuerdo con el tipo de destinario, relacionando las siguientes opciones:
1.Unidad residencial 
2.Domicilio
3.Empresa
4.Tercero autorizado</t>
  </si>
  <si>
    <t>Que la aplicación capture relacionado a la certificación, el usuario, fecha, hora, latitud, longitud y vehículo</t>
  </si>
  <si>
    <t>La aplicación tenga la opción de pick to voice para capturar información en el campo observaciones</t>
  </si>
  <si>
    <t>Ejecución cumplimiento de entregas- Finalización de certificación con éxito</t>
  </si>
  <si>
    <t>Opción donde se evidencie la culminación exitosa, y evidencie las opciones de navegar a la próxima parada, o ver servicios del día</t>
  </si>
  <si>
    <t>Al ejecutar la opción navegar próxima parada, la aplicación debe llevarlo a ejecutar el próximo servicio que sugiere la planeación</t>
  </si>
  <si>
    <t>La aplicación debe emitir una notificación automática al destinatario, relacionado al seleccionar próximo servicio desde el cierre en la certificación del servicio</t>
  </si>
  <si>
    <t>Ejecución cumplimiento de entregas- Envión de prueba digital (POD)</t>
  </si>
  <si>
    <t>La aplicación genere el servicio con los datos capturados en la certificación,  para la estructuración del POD (Comprobante de prueba digital)</t>
  </si>
  <si>
    <t xml:space="preserve">La aplicación genere el evento de notificación para el cliente destinatario con el POD </t>
  </si>
  <si>
    <t xml:space="preserve">Funcionalidad de diligenciamiento de documentos digitales </t>
  </si>
  <si>
    <t>Permita capturar, parametrizar y enviar documentos digitales. Tales como Boomerang y dardos</t>
  </si>
  <si>
    <t>Ejecución cumplimiento de entregas- Registro de motivos de no entrega (Novedad)</t>
  </si>
  <si>
    <t>Registro de Motivos de No Entrega
La aplicación debe permitir al usuario seleccionar un motivo de no entrega desde una lista predefinida (por ejemplo: destinatario ausente, dirección incorrecta, mercancía averiada, rechazo del cliente, entre otros).</t>
  </si>
  <si>
    <t>Registro de Motivos de No Entrega
La aplicación debe permitir al usuario registrar por pick to voice la descripción del evento, registrarlo e integrarlo con servicio de planteamiento</t>
  </si>
  <si>
    <t>Captura de Evidencia Fotográfica
La aplicación debe permitir tomar fotografías directamente desde el dispositivo móvil en el momento de registrar la novedad.</t>
  </si>
  <si>
    <t>Captura de Evidencia Fotográfica
La aplicación debe tener la capacidad de validar que la fotografía tomada sea tomada de manera correcta y coherente con el motivo de no entrega planteado</t>
  </si>
  <si>
    <t>Captura de Evidencia Fotográfica
Las imágenes deben almacenarse junto con la información del servicio y estar disponibles para consulta posterior.</t>
  </si>
  <si>
    <t>Ingreso de Observaciones
El usuario debe poder ingresar observaciones adicionales en texto libre para complementar la información del motivo de no entrega.</t>
  </si>
  <si>
    <t xml:space="preserve">Ingreso de Observaciones
Las observaciones deben incluir campos como: nombre de la persona que informa, hora del intento de entrega, y cualquier detalle relevante.
</t>
  </si>
  <si>
    <t>Asociación con el Servicio
Cada motivo de no entrega, fotografía y observación debe estar vinculado al número de guía o servicio correspondiente.</t>
  </si>
  <si>
    <t>Asociación con el Servicio
Debe existir trazabilidad completa de cada intento de entrega fallido.</t>
  </si>
  <si>
    <t>Descripción de validaciones y reglas 
La aplicación debe realizar validaciónes para dejar plantear motivos de no entrega, tal como validación de ubicación (cercania a parada)</t>
  </si>
  <si>
    <t>Descripción de validaciones y reglas 
La aplicación debe realizar validaciones para dejar plantear motivos de no entrega, tal como validación de franja horaria</t>
  </si>
  <si>
    <t>Descripción de validaciones y reglas de campos obligatorios
La aplicación debe permitir parametrizar campos de planteamiento de obligación tal como observación, fotografía y cantidad de caracteres</t>
  </si>
  <si>
    <t>Ejecucción cumplimiento de entregas- Registro de motivos de no entrega a nivel de IUP (Novedad)</t>
  </si>
  <si>
    <t>La aplicación permita el registro de novedades a nivel de IUP  (Unidad)</t>
  </si>
  <si>
    <t>Certificación de Servicios Agrupados por Destinatario en Parada Única</t>
  </si>
  <si>
    <t>Agrupación automática de servicios
Al sincronizar los servicios del día, el sistema debe identificar aquellos que comparten el mismo destinatario y punto de entrega, agrupándolos en una única parada.</t>
  </si>
  <si>
    <t xml:space="preserve">Remitirse a: 1)Documento: referencia diagrama de procesos &gt; inciso.2.Flujo de entrega y cumplimiento de servicio 
2)Documento:Mockup de referencia- Mockups 14. de funcionalidad de entrega consolidada </t>
  </si>
  <si>
    <t>Interfaz unificada de certificación
La aplicación debe presentar una vista consolidada que permita al auxiliar certificar todos los servicios agrupados mediante:
Captura de firma del destinatario.
Registro de observaciones generales o específicas por servicio.
Toma de evidencia fotográfica única o por servicio, según configuración.</t>
  </si>
  <si>
    <t>Validación de certificación:
El sistema debe validar que todos los servicios agrupados hayan sido correctamente certificados antes de permitir el cierre de la parada.</t>
  </si>
  <si>
    <t xml:space="preserve">Pantalla inicio de ejecución de recolección </t>
  </si>
  <si>
    <t>Se cuente con una pantalla de inicio proceso de recolección donde tenga las opciones de realizar recogida, no realizar, información detalle del servicio, unidades, opción ubicación mapa</t>
  </si>
  <si>
    <t xml:space="preserve">Remitirse a:1)Documento: referencia diagrama de procesos- inciso.3.Flujo de recogida y cumplimiento de servicio 
2)Documento:Mockup de referencia- Mockup 10 Planteamiento de novedad </t>
  </si>
  <si>
    <t>Pantalla inicio de ejecución de recolección -Opción de no realizar entrega</t>
  </si>
  <si>
    <t>Es necesario que al ejecutar la opción lo lleve al  planteamiento de novedad (Motivo de no recolección)</t>
  </si>
  <si>
    <t xml:space="preserve">Pantalla inicio de ejecución de recolección -Opción información detalle </t>
  </si>
  <si>
    <t>Opción que al ejecutar lo lleve a observar información detalle del servicio relacionando la siguiente información:
1.Nombe del remitente
2.ID remitente 
3.Dirección remitente
4-Nombre solicitante
5.Id de solicitante
6.Ciudad solicitante
7.Ventana horaria
8.Cantidad de unidades 
9.Forma de pago 
10, Subproducto servicio 
11.Telefono remitente
12, Telefono solicitante
13, Unidad de negocio
14, Licencia
15, Cuenta
16, Valor de la mercancía 
17.Servicios asociados a la recolección</t>
  </si>
  <si>
    <t>Pantalla inicio de ejecución de recolección -Opción información detalle unidades relacionadas a la recolección</t>
  </si>
  <si>
    <t xml:space="preserve">Necesitamos que, al ejecutar la opción de ver las unidades asociadas a la recolección, se evidencie la siguiente información por unidad:
1.Codigo IUP de la unidad 
2.Tipo de unidad
3.Clase de empaque
4.Peso
5.Volumen
6.Notas
</t>
  </si>
  <si>
    <t>Pantalla inicio de ejecución de recolección -Validaciónes de servicio</t>
  </si>
  <si>
    <t xml:space="preserve">Es necesario que realice validaciones antes de ejecutar un servicio tales como:  Si el servicio tiene una novedad (Motivo de no recolección) activa </t>
  </si>
  <si>
    <t>Es necesario que realice validaciones antes de ejecutar un servicio tales como:  Franjas horarias para ejecutar el servicio</t>
  </si>
  <si>
    <t>Ejecución de servicio de recolección-Conceptos de recaudo</t>
  </si>
  <si>
    <t>Ejecución de servicio de recolección -Lectura de unidades</t>
  </si>
  <si>
    <t>Lectura de Unidades desde un Servicio de Recolección:
1) La aplicación debe permitir la lectura automática de unidades asociadas a un servicio de recolección mediante escaneo de códigos de barras o QR.</t>
  </si>
  <si>
    <t>Remitirse a: 1)Documento: referencia diagrama de procesos &gt; inciso.3.Flujo de recogida y cumplimiento de servicio 
2)Documento:Mockup de referencia- Mockups 7.ejecución flujo de recolección</t>
  </si>
  <si>
    <t>Lectura de Unidades desde un Servicio de Recolección:
2) Debe validar que las unidades escaneadas correspondan al servicio asignado y registrar la hora y ubicación del escaneo.</t>
  </si>
  <si>
    <t>Ejecución de servicio de recolección -Inteligencia contextual para escenarios de recolección</t>
  </si>
  <si>
    <t>Inteligencia Contextual para Escenarios de Recolección
La aplicación debe ser capaz de identificar automáticamente el tipo de recolección al escanear una unidad:
Recolección programada.
Recolección no programada.
Recolección de devolución.
Según el tipo identificado, debe activar el flujo correspondiente de forma automática.</t>
  </si>
  <si>
    <t xml:space="preserve">Ejecución de servicio de recolección -Creación de servicios </t>
  </si>
  <si>
    <t>Creación de Servicios de remesa desde un servicio de Recolección
1)Creación Ágil de Servicio de Remesa:
El sistema debe permitir la creación de nuevos servicios desde el dispositivo móvil, incluyendo:
Datos del remitente y destinatario.
Características de las unidades (peso, volumen, tipo de mercancía).
Captura de evidencia fotográfica y observaciones.</t>
  </si>
  <si>
    <t>Remitirse a: 1)Documento: referencia diagrama de procesos &gt; inciso.4.Flujo de recogida y creación de servicio 
2)Documento:Mockup de referencia- Mockups 7.ejecución flujo de recolección</t>
  </si>
  <si>
    <t xml:space="preserve">Ejecucción de servicio de recolección -Creación de servicios </t>
  </si>
  <si>
    <t>Creación de Servicios de remesa desde un servicio de Recolección
1)Creación Ágil del servicio de remesa:
El flujo debe ser intuitivo, con navegación simplificada y validación de campos obligatorios como correo electrónico y número de contacto</t>
  </si>
  <si>
    <t>Optimización mediante Herencia de Datos Existentes
1) El sistema debe consultar automáticamente la base de datos interna para identificar si el remitente o destinatario ya existen.</t>
  </si>
  <si>
    <t>Optimización mediante Herencia de Datos Existentes
2) En caso afirmativo, debe precargar los siguientes datos:
Nombre o razón social.
Número de identificación (NIT/CC).
Dirección y ciudad.
Forma de pago habitual.
Cuenta asociada (si aplica).
Esta funcionalidad debe estar disponible tanto para remitente como para destinatario, permitiendo que el usuario solo deba ingresar los datos de la unidad logística, reduciendo tiempos de digitación y errores operativos</t>
  </si>
  <si>
    <t>Cotizar en Línea
1)Al ingresar un nuevo servicio, la aplicación debe consumir un servicio de integración que devuelva el valor estimado del flete.
El cotizador debe considerar variables como origen, destino, tipo de unidad, peso y volumen.</t>
  </si>
  <si>
    <t>Experiencia de Usuario
1)La interfaz debe estar diseñada para facilitar la creación del servicio en menos de 2 minutos, con campos auto completables, búsqueda predictiva y botones de acción visibles.</t>
  </si>
  <si>
    <t xml:space="preserve">Ejecución de servicio de recolección -Sincronización de servicios </t>
  </si>
  <si>
    <t>Sincronización de Servicios Para Recolectar
1)La aplicación debe permitir sincronizar los servicios asignados por diferentes criterios:
Por ruta, por zona geográfica, por fecha, por tipo de cliente, por ID de servicio</t>
  </si>
  <si>
    <t xml:space="preserve">Remitirse a:1)Documento: referencia diagrama de procesos- inciso.3.Flujo de recogida y cumplimiento de servicio 
2)Documento:Mockup de referencia- Mockup 7 Flujo de recolección </t>
  </si>
  <si>
    <t>Sincronización de Servicios Para Recolectar
1)La sincronización debe incluir:
Datos del servicio.
Información del remitente.
Estado actual del servicio.</t>
  </si>
  <si>
    <t xml:space="preserve">Ejecucción de servicio de recolección -Sincronización de servicios </t>
  </si>
  <si>
    <t>Sincronización de Servicios Para Recolectar
El flujo debe contemplar:
1)Consulta al servidor central.
2)Sincronización de datos al dispositivo.
3)Confirmación de sincronización exitosa.</t>
  </si>
  <si>
    <t>Ejecución de servicio de recolección -Lectura de unidades anonimas</t>
  </si>
  <si>
    <t>Lectura de Códigos de Unidades Anónimas
1)La aplicación debe permitir escanear unidades que no estén previamente asociadas a un servicio (unidades anónimas).</t>
  </si>
  <si>
    <t xml:space="preserve">Lectura de Códigos de Unidades Anónimas
2)Al escanear, debe capturar:
Código de la unidad.
Fecha, hora y ubicación.
Observaciones del operador.
Estas unidades deben quedar registradas para trazabilidad y posterior asociación.
</t>
  </si>
  <si>
    <t>Ejecución de servicios de recolección -Registro de servicios no programados</t>
  </si>
  <si>
    <t>Registro de Servicios No Programados
La aplicación debe permitir registrar servicios de recolección no programados durante la ejecución de una ruta u orden de trabajo.</t>
  </si>
  <si>
    <t>Registro de Servicios No Programados
Estos servicios deben quedar identificados como “no programados” y seguir el mismo flujo de validación y sincronización.</t>
  </si>
  <si>
    <t>Ejecución de servicios de recolección- Resumen servicio</t>
  </si>
  <si>
    <t>Visualización de Resumen de Recolección
La aplicación debe mostrar un resumen en tiempo real del estado de la recolección:
Total de unidades recolectadas.
Variables por tipo de unidad, cliente, estado.
Alertas por inconsistencias o unidades faltantes.</t>
  </si>
  <si>
    <t xml:space="preserve">Ejecución de servicios de recolección-Funcionalidad de seguridad </t>
  </si>
  <si>
    <t>Validación con Código de Seguridad
-El sistema debe generar un código de seguridad único por servicio.
-El cliente debe validar la recolección ingresando este código en el dispositivo del operador, para contrastarlo con el que se le envía desde la planeación del servicio</t>
  </si>
  <si>
    <t xml:space="preserve">Validación con Código de Seguridad
-Esta validación debe quedar registrada como evidencia de cumplimiento, relacionando usuario, fecha, hora y ID de servicio </t>
  </si>
  <si>
    <t>Ejecucción de servicios de recolección-Registro de motivo de no recolección</t>
  </si>
  <si>
    <t>Registro de Motivos de No Recolección
1)La aplicación debe permitir al usuario seleccionar un motivo de no recolección desde un catálogo predefinido, desplegado mediante búsqueda predictiva por palabra clave</t>
  </si>
  <si>
    <t>Remitirse a:1)Documento: referencia diagrama de procesos- inciso.6.Planteamiento de motivo de no recolección, proceso de recolección
2)Documento:Mockup de referencia- Mockup 10.planteamiento de novedad (Motivo de no entrega)</t>
  </si>
  <si>
    <t>Registro de Motivos de No Recolección
2)El motivo seleccionado debe quedar asociado al servicio y visible en la trazabilidad del mismo</t>
  </si>
  <si>
    <t>Ejecución de servicios de recolección-Registro de motivo de no recolección- Validación de reglas operativas</t>
  </si>
  <si>
    <t>Validación de Reglas Operativas
Antes de permitir el registro de un motivo de no recolección, la aplicación debe validar:
Que el intento de recolección se haya realizado dentro de la franja horaria asignada al servicio.</t>
  </si>
  <si>
    <t>Validación de Reglas Operativas
Antes de permitir el registro de un motivo de no recolección, la aplicación debe validar:
Que la ubicación del dispositivo móvil coincida con las coordenadas geográficas del punto de recolección</t>
  </si>
  <si>
    <t>Validación de Reglas Operativas
Si alguna de estas condiciones no se cumple, debe mostrarse un mensaje de advertencia y bloquear el registro hasta que se corrija la condición.</t>
  </si>
  <si>
    <t>Ejecución de servicios de recolección-Registro de motivo de no recolección- Captura de evidencia fotograficas</t>
  </si>
  <si>
    <t>Captura de Evidencia Fotográfica
La aplicación debe permitir tomar una o más fotografías como evidencia del intento de recolección fallido.</t>
  </si>
  <si>
    <t>Captura de Evidencia Fotográfica
Las imágenes deben almacenarse junto con el motivo y las coordenadas, y estar disponibles para consulta posterior</t>
  </si>
  <si>
    <t>Captura de Evidencia Fotográfica
La aplicación debe permitir la validación de la fotografía tomada, si es coherente con el motivo de no recolección planteado</t>
  </si>
  <si>
    <t xml:space="preserve">Ejecución de servicios de recolección-Registro de motivo de no recolección- Ingreso de observaciones </t>
  </si>
  <si>
    <t>Ingreso de Observaciones
El usuario debe poder registrar observaciones adicionales en texto libre, complementando el motivo seleccionado.</t>
  </si>
  <si>
    <t>Ejecución de servicios de recolección-Registro de motivo de no recolección</t>
  </si>
  <si>
    <t>Descripción de validaciones y reglas de campos obligatorios
La aplicación debe permitir parametrizar campos de planteamiento de obligación tal como observacion, fotografia y cantidad de caracteres</t>
  </si>
  <si>
    <t>Ejecución de servicios de recolección-Certificación de recolección</t>
  </si>
  <si>
    <t>Cumplimiento y Certificación de Recogida
La aplicación debe permitir certificar la ejecución de una recogida mediante la captura de los siguientes elementos:
1)Evidencia fotográfica del paquete o entorno.</t>
  </si>
  <si>
    <t xml:space="preserve">Remitirse a:1)Documento: referencia diagrama de procesos- inciso.3.Flujo de recogida y cumplimiento de servicio 
2)Documento:Mockup de referencia- Mockup 9  Certificación del servicio </t>
  </si>
  <si>
    <t>Cumplimiento y Certificación de Recogida
La aplicación debe permitir certificar la ejecución de una recogida mediante la captura de los siguientes elementos:
2)Firma digital del remitente o responsable de entrega.</t>
  </si>
  <si>
    <t>Cumplimiento y Certificación de Recogida
La aplicación debe permitir certificar la ejecución de una recogida mediante la captura de los siguientes elementos:
3)Registro del nombre completo, número de documento de identidad y número telefónico de la persona que entrega.</t>
  </si>
  <si>
    <t>Cumplimiento y Certificación de Recogida
La aplicación debe permitir certificar la ejecución de una recogida mediante la captura de los siguientes elementos:
4)Campo de texto libre para observaciones adicionales.</t>
  </si>
  <si>
    <t xml:space="preserve">
Esta información debe quedar asociada al número de servicio de recogida y almacenarse de forma segura en el sistema</t>
  </si>
  <si>
    <t>Captura de Datos de Geolocalización y Temporalidad
El sistema debe registrar automáticamente los siguientes datos al momento de la certificación:
Latitud y longitud del dispositivo.
Fecha y hora exacta del evento.</t>
  </si>
  <si>
    <t xml:space="preserve">En caso de no contar con conexión a red, la aplicación debe almacenar esta información localmente y sincronizarla con el servidor una vez se restablezca la conectividad </t>
  </si>
  <si>
    <t>Identificación del Punto de Parada
La aplicación debe indicar si la certificación se realizó en línea (punto de parada programado) o fuera de línea (punto no programado).</t>
  </si>
  <si>
    <t>Trazabilidad y Consulta
Toda la información capturada debe estar disponible para consulta en el módulo de trazabilidad de servicios desde los sistemas fuente</t>
  </si>
  <si>
    <t>Trazabilidad y Consulta
Debe poder exportarse como parte del comprobante digital de recogida, incluyendo firma, fotos, geolocalización y observaciones</t>
  </si>
  <si>
    <t>Ejecución de servicios de recolección-Generación de Comprobante Digital (POC)</t>
  </si>
  <si>
    <t>Generación del Servicio con Información del Comprobante Digital
1)La aplicación debe permitir la creación de un servicio de recogida que incluya automáticamente la generación del comprobante digital (POC).</t>
  </si>
  <si>
    <t>Generación del Servicio con Información del Comprobante Digital
2)El POC debe contener los siguientes datos mínimos:
Número de servicio o guía.
Fecha y hora de la recogida.
Datos del remitente y del punto de origen.
Firma digital, fotografías, observaciones y validaciones de seguridad (como código de verificación).</t>
  </si>
  <si>
    <t>Notificación del POC al Cliente Remitente
Una vez generado el POC, el sistema debe enviar automáticamente una notificación al cliente remitente a través de:
Correo electrónico con enlace al comprobante digital.
Mensaje de texto (SMS) con resumen y enlace de consulta.</t>
  </si>
  <si>
    <t xml:space="preserve">Notificación del POC al Cliente Remitente
El contenido del mensaje debe ser configurable y debe incluir el logo institucional actualizado, según lineamientos regulatorios (por ejemplo, Supertransporte) </t>
  </si>
  <si>
    <t>Notificación del POC al Cliente Remitente
El enlace debe dirigir al portal web o repositorio donde el cliente pueda visualizar y descargar el comprobante, con validación de acceso mediante número de documento o código de seguridad</t>
  </si>
  <si>
    <t>Integración del POC con Sistemas de Información
El comprobante digital debe integrarse con los sistemas centrales de información de la organización, permitiendo:
Consulta desde el módulo de trazabilidad de servicios.</t>
  </si>
  <si>
    <t>Integración del POC con Sistemas de Información
El comprobante digital debe integrarse con los sistemas centrales de información de la organización, permitiendo:
Visualización desde el portal web para clientes (remitente y destinatario).</t>
  </si>
  <si>
    <t>Integración del POC con Sistemas de Información
El comprobante digital debe integrarse con los sistemas centrales de información de la organización, permitiendo:
Asociación con el expediente digital del servicio.</t>
  </si>
  <si>
    <t>La integración debe contemplar interoperabilidad con sistemas de terceros si aplica (por ejemplo, plataformas regulatorias o de cumplimiento).</t>
  </si>
  <si>
    <t>Ejecución de servicios de recolección- Edición de Características del Servicio de Recolección</t>
  </si>
  <si>
    <t xml:space="preserve"> Funcionalidad de Edición de Servicio
1)La aplicación debe permitir la edición de las características del servicio de recolección únicamente si el servicio aún no ha sido recolectado.</t>
  </si>
  <si>
    <t xml:space="preserve">Remitirse a:1)Documento: referencia diagrama de procesos- inciso.10.Edición de servicio para una recogida con unidades asociadas </t>
  </si>
  <si>
    <t xml:space="preserve"> Funcionalidad de Edición de Servicio
2)Las características editables incluyen:
Cantidad de unidades.
Dimensiones de las unidades: alto, largo, ancho.
Peso estimado (si aplica).</t>
  </si>
  <si>
    <t xml:space="preserve"> Funcionalidad de Edición de Servicio
3)La edición debe estar disponible desde la vista detallada del servicio, con validación previa del estado operativo del mismo</t>
  </si>
  <si>
    <t>Validación de Estado del Servicio
1)Antes de permitir cualquier modificación, el sistema debe validar que el servicio:
No haya sido marcado como recolectado.
No esté en estado de cierre de ruta o liquidación.</t>
  </si>
  <si>
    <t>Validación de Estado del Servicio
2)Si el servicio ya fue recolectado, debe mostrarse un mensaje informativo y bloquear la edición</t>
  </si>
  <si>
    <t>Registro de Trazabilidad
1)Toda modificación realizada debe quedar registrada en el sistema con:
Usuario que realizó la edición.
Fecha y hora del cambio.
Valores anteriores y nuevos de cada campo modificado.</t>
  </si>
  <si>
    <t xml:space="preserve">Registro de Trazabilidad
2)Esta trazabilidad debe estar disponible para consulta desde el módulo de auditoría o trazabilidad del servicio </t>
  </si>
  <si>
    <t>Actualización de Condiciones del Servicio
Una vez editadas las características, el sistema debe:
1) Recalcular automáticamente las condiciones del servicio, incluyendo la liquidación si aplica.</t>
  </si>
  <si>
    <t>Actualización de Condiciones del Servicio
Una vez editadas las características, el sistema debe:
2) Actualizar la información en todos los módulos relacionados (por ejemplo, trazabilidad, módulo de cliente, módulo de liquidación).</t>
  </si>
  <si>
    <t xml:space="preserve">Actualización de Condiciones del Servicio
Una vez editadas las características, el sistema debe:
3) Sincronizar los cambios con el servidor central en tiempo real o en cuanto haya conectividad </t>
  </si>
  <si>
    <t>Funcionalidad de visita cerrada con éxito</t>
  </si>
  <si>
    <t>Pantalla donde se evidencie la culminación exitosa, y evidencie opciones de navegar a la próxima parada, ver la próxima parada, e ir a servicios del día (Ir a ruta)</t>
  </si>
  <si>
    <t>2)Documento:Mockup de referencia- Mockup 12  de acciones a ejecutar finalizado el proceso de parada exitosa</t>
  </si>
  <si>
    <t>Funcionalidad/Cierre de ruta</t>
  </si>
  <si>
    <t>Cierre de ruta/ Cierre de orden de trabajo</t>
  </si>
  <si>
    <t>Validación de que todos los servicios planeados estén ejecutados, y cero registros pendientes. Además, que permita capturar los datos al sistema de los servicios, fecha y usuario. Notas: explicar muy bien desde el frente en que no fue efectiva la entrega</t>
  </si>
  <si>
    <t>Remitirse a:1)Documento: referencia diagrama de procesos- inciso.11.Cierre de orden de trabajo
2)Documento:Mockup de referencia- Mockup 16  Cierre de orden de trabajo</t>
  </si>
  <si>
    <t xml:space="preserve">Cierre automático de ruta
1)Al marcar como entregado el último servicio asignado en la ruta, el sistema deberá ejecutar automáticamente el procedimiento de cierre, sin requerir intervención adicional del usuario. </t>
  </si>
  <si>
    <t>Cierre automático de ruta
2) Este cierre automático incluirá un resumen de la jornada y confirmación de finalización, optimizando tiempos y reduciendo errores por omisión.</t>
  </si>
  <si>
    <t>Validaciones inteligentes de servicios
El sistema deberá realizar validaciones automáticas sobre el estado de todos los servicios asignados en la ruta, identificando si están completados, pendientes o presentan novedades. En caso de detectar inconsistencias (por ejemplo, servicios sin registrar o con datos incompletos), deberá alertar al usuario antes de permitir el cierre.</t>
  </si>
  <si>
    <t>Captura estructurada de datos de cierre
Durante el proceso de cierre, la aplicación deberá permitir la captura de información clave para trazabilidad y análisis posterior. Esto incluye, pero no se limita a: hora de cierre, ubicación GPS, observaciones del conductor, estado del vehículo, y cualquier otra variable definida por la operación.</t>
  </si>
  <si>
    <t>Gestión proactiva de pendientes y novedades:
El sistema deberá identificar automáticamente servicios que no hayan sido gestionados y sugerir al usuario el registro de una novedad asociada (por ejemplo, cliente ausente, dirección incorrecta, etc.). Esta funcionalidad debe facilitar el cumplimiento de protocolos operativos y asegurar la integridad de la información registrada.</t>
  </si>
  <si>
    <t xml:space="preserve">Cierre de ruta/ Cierre de sesión </t>
  </si>
  <si>
    <t>Cierre de sesión sin finalizar la orden de trabajo:
El sistema deberá permitir al usuario cerrar sesión de forma segura sin que esto implique el cierre automático de la orden de trabajo activa. Esta separación funcional garantiza que el usuario pueda salir temporalmente de la aplicación sin afectar el estado operativo de la ruta o servicios en curso</t>
  </si>
  <si>
    <t>Registro de sesión y trazabilidad de usuarios
La aplicación deberá mantener un registro detallado de los eventos de inicio y cierre de sesión, incluyendo:
Identificador del usuario.
Fecha y hora de inicio y cierre de sesión.
Estado de la orden de trabajo al momento del cierre.
Indicador de si el cierre fue manual o automático por inactividad. Esta información será utilizada para auditoría, análisis de uso y control de cumplimiento operativo.</t>
  </si>
  <si>
    <t>Cierre automático por inactividad
El sistema deberá contar con un mecanismo de cierre automático de sesión en caso de inactividad prolongada (parámetro configurable). Al detectar que el usuario no ha interactuado con la aplicación durante el tiempo definido, se deberá:
Finalizar la sesión de forma segura.
Registrar el evento como cierre automático por inactividad.
Mantener el estado de la orden de trabajo sin alteraciones.
Notificar al usuario al momento de su próximo inicio de sesión sobre el cierre automático ocurrido.</t>
  </si>
  <si>
    <t>Validación de sesión activa al reingreso
Al iniciar sesión nuevamente, el sistema deberá validar si existe una sesión anterior cerrada automáticamente y permitir la reanudación del trabajo desde el punto en que se dejó, siempre que la orden de trabajo siga vigente. Esto asegura continuidad operativa sin pérdida de información.</t>
  </si>
  <si>
    <t>Ingreso de datos para cotización</t>
  </si>
  <si>
    <t>La funcionalidad deberá permitir al usuario ingresar los siguientes datos mínimos para generar una cotización:
Datos del remitente: nombre, dirección, ciudad de origen, tipo de cliente (si aplica).
Datos del destinatario: nombre, dirección, ciudad de destino.
Características de la unidad o envío: número de unidades, peso, volumen, tipo de mercancía, condiciones especiales (si aplica).</t>
  </si>
  <si>
    <t xml:space="preserve">Remitirse a:1)Documento: referencia diagrama de procesos- inciso.8.Cotización de servicio
</t>
  </si>
  <si>
    <t>Cálculo automático de tarifa</t>
  </si>
  <si>
    <t>Con base en los datos ingresados, el sistema deberá calcular automáticamente el valor estimado del servicio, considerando las reglas tarifarias vigentes, zonas de cobertura, condiciones comerciales y restricciones operativas. El resultado deberá presentarse de forma clara, incluyendo:
Valor total estimado.
Detalle de componentes (flete base, recargos, impuestos, etc.).</t>
  </si>
  <si>
    <t>Validaciones y recomendaciones</t>
  </si>
  <si>
    <t>El sistema deberá validar que los datos ingresados sean coherentes y completos antes de generar la cotización (Integración). En caso de inconsistencias (por ejemplo, ciudad de destino fuera de cobertura), deberá notificar al usuario y sugerir alternativas viables.</t>
  </si>
  <si>
    <t>Conversión a orden de servicio</t>
  </si>
  <si>
    <t>Si el usuario acepta la cotización, el sistema deberá permitir la conversión directa a una orden de servicio, heredando automáticamente toda la información ingresada (remitente, destinatario, unidades, origen, destino, etc.) para evitar reprocesos. Esta acción deberá redirigir al módulo de grabación de servicios, permitiendo al usuario completar los datos adicionales requeridos para formalizar el servicio.</t>
  </si>
  <si>
    <t>Trazabilidad y registro</t>
  </si>
  <si>
    <t>Toda cotización generada deberá quedar registrada en el sistema con un identificador único, incluyendo:
Usuario que la generó.
Fecha y hora.
Datos de entrada.
Resultado de la cotización.
Estado (cotizada, convertida en servicio, descartada).</t>
  </si>
  <si>
    <t xml:space="preserve">Funcionalidad/ Consulta de unidad </t>
  </si>
  <si>
    <t>Consulta unificada de información de unidad</t>
  </si>
  <si>
    <t>La funcionalidad deberá permitir al usuario acceder a una vista consolidada de los datos clave de una unidad, incluyendo:
Datos del remitente: nombre, dirección, contacto.
Datos del destinatario: nombre, dirección, contacto.
Información de liquidación: valor del servicio, estado de cobro, forma de pago.
Datos operativos: ciudad de origen, ciudad de destino, fecha y hora de recolección y entrega, estado actual del servicio.
Identificadores asociados: número de guía, número de orden de trabajo, placa del vehículo (si aplica), entre otros.</t>
  </si>
  <si>
    <t xml:space="preserve">Remitirse a:1)Documento: referencia diagrama de procesos- inciso.9.Consulta de unidad
</t>
  </si>
  <si>
    <t>Visualización estructurada y jerárquica</t>
  </si>
  <si>
    <t>La información deberá presentarse de forma ordenada, agrupada por secciones (ej. remitente, destinatario, trazabilidad, liquidación), permitiendo al usuario identificar rápidamente los datos relevantes sin necesidad de desplazamientos extensos o múltiples clics.</t>
  </si>
  <si>
    <t>Funcionalidad/ Reporte de recaudo</t>
  </si>
  <si>
    <t>Generación de reporte de recaudo</t>
  </si>
  <si>
    <t>La funcionalidad deberá permitir la generación de un reporte que consolide la información financiera relacionada con los servicios ejecutados, incluyendo:
Monto recaudado: total de dinero efectivamente cobrado por el usuario.
Monto pendiente: dinero correspondiente a servicios entregados, pero aún no recaudado.
Monto por recaudar: servicios programados o en tránsito con expectativa de recaudo.</t>
  </si>
  <si>
    <t>Remitirse a 2) Mockup de referencia- Mockup 11 Recaudo de dinero</t>
  </si>
  <si>
    <t>Detalle por servicio</t>
  </si>
  <si>
    <t>Cada registro del reporte deberá incluir información detallada del servicio asociado, como:
Número de guía u orden.
Fecha y hora del servicio.
Ciudad de origen y destino.
Estado del servicio (entregado, en tránsito, pendiente).
Valor del servicio, valor recaudado y medio de recaudo</t>
  </si>
  <si>
    <t>Método de recaudo</t>
  </si>
  <si>
    <t>El reporte deberá identificar el método de recaudo utilizado en cada caso, tales como:
Efectivo.
Medio electrónico.
Segmentación por tipo de medio electrónico
Recaudo Flete contra entrega.
Recaudo contado en origen 
Recaudo de producto</t>
  </si>
  <si>
    <t>Identificación del usuario responsable</t>
  </si>
  <si>
    <t>El sistema deberá registrar y mostrar el usuario que realizó el recaudo, incluyendo:
Nombre del usuario.
Identificador de sesión.
Fecha y hora del registro de recaudo.</t>
  </si>
  <si>
    <t>Filtros y criterios de consulta</t>
  </si>
  <si>
    <t>El reporte deberá permitir aplicar filtros para facilitar la consulta, tales como:
Rango de fechas.
Estado del recaudo (recaudado, pendiente, por recaudar).
Usuario.
Ciudad o zona.
Método de pago.</t>
  </si>
  <si>
    <t>Integración de la información en el sistema</t>
  </si>
  <si>
    <t>Toda la información capturada y generada por esta funcionalidad deberá quedar integrada de forma estructurada en el sistema central, permitiendo su consulta posterior, trazabilidad histórica, y disponibilidad para otros módulos o reportes corporativos</t>
  </si>
  <si>
    <t>Reporte usabilidad de las funcionalidades de la aplicación</t>
  </si>
  <si>
    <t>Integración con power BI, mediante la estructuración de un reporte que permita evidenciar la usabilidad de las funcionalidades de la aplicación, por orden de trabajo, usuario y proceso</t>
  </si>
  <si>
    <t>Modulo administrativo de notificaciones</t>
  </si>
  <si>
    <t xml:space="preserve">Modulo administrativo que permita configurar y/o parametrizar notificaciones para los usuarios de la aplicación. </t>
  </si>
  <si>
    <t>Modulo administrativo que permita configurar y/o parametrizar notificaciones para los clientes destinatarios del servicio</t>
  </si>
  <si>
    <t>Modulo administrativo que permita configurar y/o parametrizar notificaciones para los clientes remitente del servicio</t>
  </si>
  <si>
    <t>Modulo adminsitrador de roles, usuarios y tipo de moviles</t>
  </si>
  <si>
    <t>Modulo administrativo de configuración relacionado con roles de la aplicación</t>
  </si>
  <si>
    <t xml:space="preserve">Reporte de productividad orientado al desempeño de las ordenes de trabajo </t>
  </si>
  <si>
    <t>Integración con power bi, mediante el desarrollo de un reporte de productividad que permita ver la evolución de las órdenes de trabajo de primera y última milla, que evidencie el desempeño de las tripulaciones logísticas</t>
  </si>
  <si>
    <t>Reporte administrativo de cierre de ordenes de trabajo</t>
  </si>
  <si>
    <t>Integración con power Bi, mediante el desarrollo de un reporte que capture el comportamiento de cierre de ordenes de trabajo, con los servicios pendientes, ejecutados, por orden de trabajo</t>
  </si>
  <si>
    <t>Funcionalidad/ Funcionalidad Pick to voice</t>
  </si>
  <si>
    <t>Ejecución de entrega y recogidas</t>
  </si>
  <si>
    <t>Funcionalidad que permite ejecutar procesos mediante las indicaciones de la voz, relacionado a eventos importantes durante el desarrollo de flujos de entregas y recogidas. Es decir que permita programarle al flujo de la aplicación tips de a ejecutar del proceso</t>
  </si>
  <si>
    <t>Módulo de Configuración de Flujos</t>
  </si>
  <si>
    <t>La aplicación deberá contar con un módulo que permita la configuración dinámica de flujos operativos, con el fin de adaptar y optimizar los procesos internos según las necesidades del negocio</t>
  </si>
  <si>
    <t>Interfaz gráfica para la creación y edición de flujos.</t>
  </si>
  <si>
    <t>Posibilidad de definir condiciones, reglas y acciones automatizadas (por ejemplo: asignación de pedidos, validaciones, notificaciones).</t>
  </si>
  <si>
    <t>Integración con otros módulos del sistema (logística, pagos, usuarios, etc.).</t>
  </si>
  <si>
    <t>Control de versiones y trazabilidad de cambios en los flujos.</t>
  </si>
  <si>
    <t>Capacidad para activar o desactivar flujos según contexto operativo o necesidad específicas.</t>
  </si>
  <si>
    <t>Capacidad para activar o desactivar campos de las diferentes pantallas,  según contexto operativo o necesidad específicas.</t>
  </si>
  <si>
    <t>Funcionalidad/ Funcionalidad Copilot</t>
  </si>
  <si>
    <t xml:space="preserve">Funcionalidad que guía e indica al colaborador para ejecutar procesos de la aplicación </t>
  </si>
  <si>
    <t>Funcionalidad/ Notificaciónes</t>
  </si>
  <si>
    <t>Notificación a los usuarios sobre recolección de datos</t>
  </si>
  <si>
    <t>Solicitar los permisos mínimos necesarios para operar (ejemplo, Cámara, GPS, Llamadas, ETC).</t>
  </si>
  <si>
    <t>Notificaciones usuario</t>
  </si>
  <si>
    <t>Visualización de ejecución de servicios en línea (doble vía), evidenciando el cambio de estado de forma automática para los diferentes usuarios conectados al medio logístico.</t>
  </si>
  <si>
    <t>Funcionalidad/ Lectura de codigos</t>
  </si>
  <si>
    <t xml:space="preserve">Lectura de codigos </t>
  </si>
  <si>
    <t>Lectura de códigos de barras lineales y QR por cámara</t>
  </si>
  <si>
    <t xml:space="preserve">Experiencia de usuario </t>
  </si>
  <si>
    <t>Experiencia de Usuario Optimizada y Navegación Eficiente</t>
  </si>
  <si>
    <t>La aplicación deberá estar diseñada bajo principios de experiencia de usuario (UX) que prioricen la simplicidad, claridad y eficiencia, permitiendo a los usuarios completar tareas clave con el mínimo número de interacciones posibles (pocos clics).</t>
  </si>
  <si>
    <t>Diseño centrado en el usuario, con interfaces limpias, jerarquía visual clara y elementos interactivos accesibles.</t>
  </si>
  <si>
    <t>Flujos de navegación optimizados, que permitan realizar tareas frecuentes (como cumplir una entrega, una recogida) en máximo 4 pantallas con pocos clics.</t>
  </si>
  <si>
    <t>Accesos directos contextuales y botones de acción rápida para tareas recurrentes.</t>
  </si>
  <si>
    <t>Retroalimentación inmediata al usuario ante cada acción (confirmaciones, errores, estados de carga).</t>
  </si>
  <si>
    <t>Compatibilidad móvil con diseño responsivo y gestos táctiles intuitivos.</t>
  </si>
  <si>
    <t>Personalización de vistas según el rol del usuario para mostrar solo la información relevante.</t>
  </si>
  <si>
    <t>Demo o mockups de aplicación</t>
  </si>
  <si>
    <t>Demo de solución de aplicación</t>
  </si>
  <si>
    <t>Contar con una demo de prueba de la aplicación o en caso de no tener evidenciar mockups de referencia de los distintos flujos</t>
  </si>
  <si>
    <t>Soportado mediante desarrollo con costo adicional ( este costo deberá ser tenido en cuenta en la propuesta económica)</t>
  </si>
  <si>
    <t>Aplicación ruta /Req Técnicos</t>
  </si>
  <si>
    <t>Arquitectura - Backend</t>
  </si>
  <si>
    <t>Arquitectura - Frontend</t>
  </si>
  <si>
    <t>Modelo de Soporte</t>
  </si>
  <si>
    <t>Infraestructura</t>
  </si>
  <si>
    <t xml:space="preserve">General </t>
  </si>
  <si>
    <t>Ciberseguridad</t>
  </si>
  <si>
    <t xml:space="preserve">Proyecto diseño de aplicación ruta -Req Técnicos </t>
  </si>
  <si>
    <t>Componente</t>
  </si>
  <si>
    <t>Requisito</t>
  </si>
  <si>
    <t>Arquitectura- Front End</t>
  </si>
  <si>
    <t>Front End</t>
  </si>
  <si>
    <t>Aplicación nativa en Android ejecutándose en versiones Android 13 y superiores.</t>
  </si>
  <si>
    <t>Se debe garantizar la homologación con nuevas versiones del sistema operativo (Android) evitando la obsolescencia tecnológica. La actualización periódica para evitar obsolescencia debe estar incluida en la propuesta en el costo del SaaS  o en el desarrollo a la medida.</t>
  </si>
  <si>
    <t>Aplicación optimizada para un funcionamiento "online / offline"</t>
  </si>
  <si>
    <t>Arquitectura - Back End</t>
  </si>
  <si>
    <t xml:space="preserve"> Back End</t>
  </si>
  <si>
    <t>Aplicación con una arquitectura basada en eventos</t>
  </si>
  <si>
    <t>Si hay necesidad de almacenar información en el dispositivo, todos los datos almacenados en el dispositivo deben estar cifrados</t>
  </si>
  <si>
    <t>Back End</t>
  </si>
  <si>
    <t>Si existen logs, en estos no se debe colocar información sensible en claro</t>
  </si>
  <si>
    <t>La aplicación debe garantizar solicitar los permisos mínimos necesarios para operar (ejemplo, Cámara, GPS, Llamadas, ETC).</t>
  </si>
  <si>
    <t>La aplicación debe permitir la integración con servicios para la autenticación de usuarios. Con el DA</t>
  </si>
  <si>
    <t>La aplicación deberá garantizar la autenticación al momento de usar los diferentes servicios WEB haciendo uso de tokens de Acceso Seguro y garantizar su renovación.</t>
  </si>
  <si>
    <t>La aplicación debe permitir integración con servicios OTP</t>
  </si>
  <si>
    <t>Validación de entrada de datos por el usuario, previniendo inyecciones de  SQL, XSS, actualizaciones de de librerías,</t>
  </si>
  <si>
    <t>Implementación de reglas contra ingeniería inversa.</t>
  </si>
  <si>
    <t>La aplicación no debe ejecutar reglas de negocio, se debe garantizar que estas estén del lado del servidor.</t>
  </si>
  <si>
    <t>La aplicación debe estar disponible en la Play Store y se debe permitir actualizarse automáticamente (ejemplo en el Splash Screen)</t>
  </si>
  <si>
    <t xml:space="preserve">La aplicación debe tener drivers para leer códigos de barra lineal (garantizando mínimamente Code-128, Code-39) y 2D ( garantizando mínimamente Data Matrix  y QR) </t>
  </si>
  <si>
    <t>La lectura de los códigos de barra no debe ser mayor a 300 milisegundos</t>
  </si>
  <si>
    <t>La aplicación debe permitir la integración por medio de APIs (Envío de eventos, pagos, notificaciones, entre otros.) Esta integración debe ser en ambas direcciones: enviar info. desde la aplicación a sistemas internos y al revés.</t>
  </si>
  <si>
    <t>La arquitectura debe permitir el procesamiento simultáneo de múltiples eventos generados por la aplicación y actualizados en tiempo real con el backend.</t>
  </si>
  <si>
    <t xml:space="preserve">La aplicación debe tener una arquitectura flexible y escalable. </t>
  </si>
  <si>
    <t>La aplicación debe tener una arquitectura resiliente a fallos</t>
  </si>
  <si>
    <t>La aplicación debe tener una arquitectura de alta disponibilidad y que garantice su comunicación en tiempo real (uso de Microservicios, Kubernetes y WebSockets).</t>
  </si>
  <si>
    <t>Visualización de ejecución de servicios en línea (doble vía), evidenciando el cambio de estado de forma automática para los diferentes usuarios conectados al vehículo.</t>
  </si>
  <si>
    <t>Implementación de protocolos seguros para la comunicación (conexiones seguras HTTPS, cifrado para datos sensibles como datos bancarios, validación de certificados de servidor SSL, inclusión de Headers de Seguridad(CSP)).</t>
  </si>
  <si>
    <t>Uso de firmas digitales en las transacciones usando claves asimétricas.</t>
  </si>
  <si>
    <t>Implementar el concepto de Rate Limit que prevengan ataques de fuerza bruta.</t>
  </si>
  <si>
    <t>Si hay almacenamiento de contraseñas estas deben estar encriptadas,</t>
  </si>
  <si>
    <t>Implementación de balanceo de Cargas. Indicar como se garantiza</t>
  </si>
  <si>
    <t>En el caso del software a la medida, se deben entregar los requerimientos de HW que garanticen el cumplimiento de los requerimientos de alta disponibilidad, DRP, flexibilidad y escalabilidad</t>
  </si>
  <si>
    <t>Soporte</t>
  </si>
  <si>
    <t>Monitoreo</t>
  </si>
  <si>
    <t>Registro de eventos críticos en herramientas de monitoreo o permitir el entregable a estos (Transaccionales y de accesos) Indicar como se garantiza</t>
  </si>
  <si>
    <t>Permitir la integración con herramientas de monitoreo TCC para la identificación temprana de fallos en los componentes de la solución (servicios, Kubernetes, plataformas, etc.)</t>
  </si>
  <si>
    <t xml:space="preserve">Matriz de escalamiento </t>
  </si>
  <si>
    <t xml:space="preserve">Entregar matriz de escalamiento que contenga: (Niveles, tiempos para escalar al siguiente nivel, cuales son los eventos en que escala al siguiente nivel ejemplo cuando no contestan o  cuando no se encuentra una solución en el nivel anterior.) </t>
  </si>
  <si>
    <t>ANS</t>
  </si>
  <si>
    <t>Tiempos de respuesta de acuerdo a prioridad e impacto ANS (cuales son las categorías que se atienden en el soporte y cuales es el tiempo de el primer contacto y de la  solución definitiva por categoría.)</t>
  </si>
  <si>
    <t>Herramienta de seguimiento</t>
  </si>
  <si>
    <t>Por cuales medios se registra un incidente o requerimiento. llamada, ITSM, correo?)</t>
  </si>
  <si>
    <t>Ene el caso en que el reporte del requerimiento sea atreves de un ITSM indicar si se puede integrar con Service Desk; esto con la idea de tener una idea general y centralizada del servicio</t>
  </si>
  <si>
    <t>Disponibilidad</t>
  </si>
  <si>
    <t>Disponibilidad mínima del 99,95%</t>
  </si>
  <si>
    <t>Alcance del soporte</t>
  </si>
  <si>
    <t>(entender si es solo para incidentes una interrupción del servicio, o incluso para mejoras o nuevas funcionalidades?) Horarios de atención y en caso de ser necesario costos de horas adicionales de soporte.</t>
  </si>
  <si>
    <t>Explicar si el soporte es sólo para interrupción del servicio o incluso para mejoras o nuevas funcionalidades, incluir en la propuestas según sea el caso</t>
  </si>
  <si>
    <t>Modalidad de Soporte</t>
  </si>
  <si>
    <t>Indicar como se prestará el soporte (de manera remoto, o en sitio) en cualquiera de los caso indicar cual será programación del recurso asignados</t>
  </si>
  <si>
    <t>Despliegues</t>
  </si>
  <si>
    <t>Despliegue automático y continuo de la solución (CI/CD) mitigando el impacto en el despliegue de nuevas versiones.</t>
  </si>
  <si>
    <r>
      <rPr>
        <rFont val="Arial"/>
        <color theme="1"/>
        <sz val="10.0"/>
      </rPr>
      <t xml:space="preserve">Todos los componentes arquitectónicos de la solución como servidor de  aplicaciones, bases de datos y Apis de integración deben estar soportados en una arquitectura escalable, de alta disponibilidad (superior 99.95%) y </t>
    </r>
    <r>
      <rPr>
        <rFont val="Arial"/>
        <b/>
        <color theme="1"/>
        <sz val="10.0"/>
      </rPr>
      <t>con calidad del servicio</t>
    </r>
    <r>
      <rPr>
        <rFont val="Arial"/>
        <color theme="1"/>
        <sz val="10.0"/>
      </rPr>
      <t xml:space="preserve"> (superior 99,6%)</t>
    </r>
  </si>
  <si>
    <t>Detallar esquema de evolución de la aplicación (como se atenderán nuevos requerimientos y actualizaciones tecnológicas. La propuesta económica debe incluir costos de esta evolución tecnológica)</t>
  </si>
  <si>
    <t>Diagrama</t>
  </si>
  <si>
    <t>Adjuntar diagrama lógico de la arquitectura de la solución ( Aplicación, componentes arquitectónicos, APIs, entre otros)</t>
  </si>
  <si>
    <t>DRP</t>
  </si>
  <si>
    <r>
      <rPr>
        <rFont val="Arial"/>
        <color theme="1"/>
        <sz val="10.0"/>
      </rPr>
      <t xml:space="preserve">Adjuntar diagrama del modelo de recuperación del sistema ante fallos, </t>
    </r>
    <r>
      <rPr>
        <rFont val="Arial"/>
        <b/>
        <color theme="1"/>
        <sz val="10.0"/>
      </rPr>
      <t>¿cual es el RTO y RPO? ¿Dónde estaría el servicio alojado?</t>
    </r>
  </si>
  <si>
    <t>BCP</t>
  </si>
  <si>
    <t>Adjuntar plan de continuidad del negocio del sistema ante fallos</t>
  </si>
  <si>
    <t>Adjuntar diagrama de arquitectura física indicando los componentes que garantizan alta disponibilidad y DRP</t>
  </si>
  <si>
    <t>Conectividad</t>
  </si>
  <si>
    <t>Asegurar interoperabilidad con los sistemas de la organización (ej. ERP, CRM, base datos, etc.). Adjuntar soportes y documentación</t>
  </si>
  <si>
    <t>Asegurar las soluciones para conexión privada y dedicada entre los entornos de la compañía y la nueva solución (ej. FastConnect, VPN, etc.)</t>
  </si>
  <si>
    <t>Networking</t>
  </si>
  <si>
    <t>Integrar con APIS, SOAP, Rest web sockets</t>
  </si>
  <si>
    <t>Backups</t>
  </si>
  <si>
    <t>Adjuntar política de backup, incluyendo plan de retención que especifique los tiempos de recuperación, frecuencia de ejecución de backups y tipo de backup que se ejecuta (full e incremental)</t>
  </si>
  <si>
    <t>Monitoreo y observabilidad</t>
  </si>
  <si>
    <t>Adjuntar soportes de las herramientas de monitoreo de los servicios en tiempo real que incluya la herramienta ofertada</t>
  </si>
  <si>
    <t>Indicar si la herramienta se integra con aplicaciones se observabilidad y especificar cómo sería.</t>
  </si>
  <si>
    <t>Informes</t>
  </si>
  <si>
    <t>Entrega de reportes de monitoreo, rendimiento y uso de recursos con una periodicidad mensual y acceso a dashboard en tiempo real</t>
  </si>
  <si>
    <t>Gestión de la capacidad</t>
  </si>
  <si>
    <t>Adjuntar procesos que soporten la gestión de la capacidad, donde se evidencie como se planifica el crecimiento y uso de recursos con una estrategia de optimización del rendimiento.</t>
  </si>
  <si>
    <t>Migración</t>
  </si>
  <si>
    <t>Adjuntar soportes de documentación donde se especifique la facilidad de migración desde y hasta su plataforma</t>
  </si>
  <si>
    <t>Gestión de la configuración</t>
  </si>
  <si>
    <t>Adjuntar procesos que soporte la gestión de la configuración, donde se evidencia como se ejecutan control de activos, actualización de los sistemas software y hardware, entre otros).</t>
  </si>
  <si>
    <t>Relaciones entre CI</t>
  </si>
  <si>
    <t>En caso de no ser un SaaS, adjuntar  diagramas de relaciones entre CI (items de configuración) en los sistemas y componentes</t>
  </si>
  <si>
    <t>General</t>
  </si>
  <si>
    <t>Gestión de cambios</t>
  </si>
  <si>
    <t>En caso de no ser un SaaS, adjuntar los lineamientos del control de cambios, debe estar alineado a la organización TCC (se adjunta lineamientos de TCC)</t>
  </si>
  <si>
    <t>Gestión de riesgos</t>
  </si>
  <si>
    <t>Adjuntar matriz de riesgos a nivel de infraestructura de la evaluación mas reciente que se realizó y el plan de acción ejecutado</t>
  </si>
  <si>
    <t>Seguridad de redes</t>
  </si>
  <si>
    <t>Compartir políticas de seguridad de la información de la compañía que detalle los componentes de redes (Ej. Firewall, WAF, etc.…).</t>
  </si>
  <si>
    <t>Gestión de vulnerabilidades</t>
  </si>
  <si>
    <t>Compartir procesos y lineamiento para la gestión y remediación de vulnerabilidades. En caso de nos ser un SaaS, la propuesta económica debe incluir la intervención de las vulnerabilidad</t>
  </si>
  <si>
    <t>Seguridad de la información</t>
  </si>
  <si>
    <t>Notificación a los usuarios de la aplicación sobre recolección de datos</t>
  </si>
  <si>
    <t>Requerimientos generales de Ciberseguridad</t>
  </si>
  <si>
    <t>El aliado o proveedor cuenta con marcos de referencia para apoyar la Gestión de la Ciberseguridad al interior de su compañía, como: ISO 27001, ISO 27032 o NIST CS, entre otros.</t>
  </si>
  <si>
    <t>El aliado o proveedor debe garantizar y evidenciar que incorpora en sus sistemas de información mecanismos de múltiple factor de autenticación (MFA).</t>
  </si>
  <si>
    <t>El aliado o proveedor debe garantizar que toda la información almacenada del Grupo Logístico TCC cumple con los principios de disponibilidad, integridad y confidencialidad. Se debe adjuntar evidencia.</t>
  </si>
  <si>
    <t>El aliado o proveedor debe garantizar que los procesos sostenidos del Intercambio de Información o archivos con la empresa se realice mediante mecanismos seguros como SFTP, FTPS.</t>
  </si>
  <si>
    <t>El aliado o proveedor debe permitir  pruebas de ciberseguridad en el servicio ofrecido.</t>
  </si>
  <si>
    <t>El aliado o proveedor debe garantizar que cuenta con una estructura de gobierno para gestionar los temas de Ciberseguridad. Se debe adjuntar evidencia.</t>
  </si>
  <si>
    <t>El aliado o proveedor garantiza y evidencia que el servicio a prestar incluye procedimientos y tecnologías que aseguran la alta disponibilidad y continuidad de la operación de los servicios del Grupo Logístico TCC. La evidencia debe ser presentada anualmente.</t>
  </si>
  <si>
    <t>El aliado o proveedor debe disponer a la finalización del contrato que cuenta con los procedimientos para eliminación y borrado seguro de datos e información recolectada durante la prestación de servicios con el Grupo Logístico TCC.</t>
  </si>
  <si>
    <t>El aliado o proveedor debe garantizar Backup o copias de respaldo (indicando el tiempo de resguardo y periodicidad de las copias). Aplica para los aliados o proveedore que cuenten con almacenamiento de información del Grupo Logístico TCC.</t>
  </si>
  <si>
    <t>El aliado o proveedor está en la capacidad de cumplir con los siguientes requisitos legales y contractuales:
1. Cláusula sobre la gestión, notificación de información ante Incidentes de Ciberseguridad que puedan afectar el servicio y la información del Grupo Logístico TCC.
2. Cláusula que posibilite la auditabilidad hacia el servicio ofrecido por el proveedor. Anexar clausulas</t>
  </si>
  <si>
    <t>El aliado o proveedor debe cumplir con los lineamientos de Ciberseguridad del Grupo Logístico TCC. Anexar lineamientos de TCC</t>
  </si>
  <si>
    <t>El aliado o proveedor debe suministrar evidencia que incorpora los siguientes sistemas de protección básicos en su organización.
1. Protección endpoint
2. Protección de seguridad perimetral
3. Seguridad correo electrónico
4. Gestión de actualización y parches en su infraestructura TI
5. Seguridad red corporativa
Nota: Toda evidencia debe ser presentada anualmente.</t>
  </si>
  <si>
    <t xml:space="preserve">El aliado o proveedor se compromete a la gestión de vulnerabilidades presentadas en su servicio, cumplimiento con nuestros ANS para gestión de remediación según la severidad de las vulnerabilidades, encontradas en los servicios tecnológicos ofrecidos:
</t>
  </si>
  <si>
    <t>Requerimientos: Desarrollo Externo de software y sitios WEB</t>
  </si>
  <si>
    <t>El aliado o proveedor debe contar con lineamientos para el Desarrollo Seguro de Software y sitios WEB. Anexar evidencia</t>
  </si>
  <si>
    <t>El aliado o proveedor garantiza incorporar en el desarrollo mecanismos de múltiple factor de autenticación (MFA), como: TOKEN, CLAVE API o OAUTH 2.0. Anexar evidencia</t>
  </si>
  <si>
    <t xml:space="preserve">El aliado o proveedor debe suministrar previo a la implementación y antes de cualquier liberación de nuevas versiones de software, los resultados generales y la gestión de la remediación realizada de las siguientes pruebas:
1. Pruebas de tipo (SAST, IAST y DAST )
2. Pruebas de Penetración o Ética Hacking (caja negra o caja gris según corresponda)
3. Pruebas de Vulnerabilidades Tecnológicas
</t>
  </si>
  <si>
    <t>El aliado o proveedor garantiza que se basa en los principios y buenas prácticas del desarrollo seguro establecidas por OWASP. Anexar evidencia</t>
  </si>
  <si>
    <t>El aliado o proveedor garantiza el cumplimiento del ciclo de vida del desarrollo de software (SDLC), que contemple las fases: Requerimientos, diseño, desarrollo, verificación, implementación, mantenimiento y evolución. Anexar evidencia</t>
  </si>
  <si>
    <t>Requerimientos: Servicios en nube</t>
  </si>
  <si>
    <t>El aliado o proveedor garantiza que dentro del alcance del servicio a prestar se cuenta con conocimiento experto en estándares de Seguridad para incorporación de Tecnologías en Nube, como CSA o similares. Anexar certificaciones correspondiente</t>
  </si>
  <si>
    <t>El aliado o proveedor dispone de un lineamiento o procedimiento para reportar la ocurrencia de Incidentes de ciberseguridad que se puedan presentar sobre la información del Grupo Logístico TCC almacenada en la nube administrada por el proveedor. Anexar lineamientos</t>
  </si>
  <si>
    <t xml:space="preserve">El aliado o proveedor garantiza que cuenta con la protección para Seguridad en la Ejecución y Protección Contra: anexar evidencia
1.Manipulación de Datos
2Prevención de Exfiltración de Información
3.Protección Contra Escalamiento de Privilegios.
4.Administración definición de roles y perfiles.
</t>
  </si>
  <si>
    <t>El aliado o proveedor debe garantizar la restricción de conexiones por Geolocalización. Anexar evidencia o explicar como se garantiza</t>
  </si>
  <si>
    <t>El aliado o proveedor debe garantizar escalabilidad: Actualizaciones y versionamiento. Anexar evidencia o explicar como se garantiza</t>
  </si>
  <si>
    <t>El aliado o proveedor garantiza que el servicio ofrecido incorpora mecanismos de múltiple factor de autenticación (MFA), como: TOKEN, CLAVE API o OAUTH 2.0. Anexar evidencia o explicar como se garantiza</t>
  </si>
  <si>
    <t>El aliado o proveedor dispone de personal certificado en algunas de las siguientes certificaciones: Anexar certificaciones
1. Profesional de Seguridad en la Nube Certificado (CCSP) de (ISC)2
2. Certificado de Conocimientos de Seguridad en la Nube (CCSK) de Cloud Security Alliance
3. Especialista Certificado en Seguridad en la Nube (CCSS) del Foro Global de Ciencia y Tecnología
4. Integrador Certificado de Servicios Seguros en la Nube, de EXIN
5. Fundamentos de Seguridad en la Nube del Instituto SANS (SEC524)
6. Certificación Profesional de Administrador de Seguridad en la Nube (PCS) del Cloud Credential Council</t>
  </si>
  <si>
    <t>El aliado o proveedor suministra previo a la implementación en ambiente productivo, los resultados y la gestión de la remediación realizada de las siguientes pruebas:
1. Pruebas de servicios cloud
2. Pruebas de servicios API
3. Pruebas de Penetración o Ethical Hacking (caja negra o caja gris según corresponda)
4. Pruebas de Vulnerabilidades Tecnológicas</t>
  </si>
  <si>
    <t>Requerimientos: Servicio pruebas de Ciberseguridad</t>
  </si>
  <si>
    <t>El aliado o proveedor debe garantizar que el personal a cargo de las pruebas (Interno o externo) cuenta con certificaciones de industria actualizadas que avalen su conocimiento y experiencia en la ejecución de pruebas de seguridad (CEH, CISP, CPTE), entre otras que apliquen. Anexar certificación</t>
  </si>
  <si>
    <t>El aliado o proveedor debe garantizar la ejecución de retest para verificación del cierre de los hallazgos encontrados en las pruebas y análisis ejecutados.</t>
  </si>
  <si>
    <t>El aliado o proveedor debe disponer a la finalización del contrato que cuenta con los procedimientos para eliminación y borrado seguro de datos e información recolectada durante la prestación de servicios con el Grupo Logístico TCC. Anexar procedimiento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</si>
</sst>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0.0000"/>
    <numFmt numFmtId="166" formatCode="0.00000"/>
    <numFmt numFmtId="167" formatCode="0.0000%"/>
    <numFmt numFmtId="168" formatCode="0.000%"/>
    <numFmt numFmtId="169" formatCode="0.000"/>
  </numFmts>
  <fonts count="13">
    <font>
      <sz val="11.0"/>
      <color theme="1"/>
      <name val="Calibri"/>
      <scheme val="minor"/>
    </font>
    <font>
      <sz val="11.0"/>
      <color theme="1"/>
      <name val="Calibri"/>
    </font>
    <font>
      <sz val="10.0"/>
      <color theme="1"/>
      <name val="Arial"/>
    </font>
    <font>
      <b/>
      <sz val="10.0"/>
      <color theme="1"/>
      <name val="Arial"/>
    </font>
    <font>
      <sz val="12.0"/>
      <color theme="1"/>
      <name val="Arial"/>
    </font>
    <font>
      <sz val="14.0"/>
      <color theme="1"/>
      <name val="Arial"/>
    </font>
    <font>
      <sz val="12.0"/>
      <color theme="1"/>
      <name val="Calibri"/>
    </font>
    <font/>
    <font>
      <b/>
      <sz val="11.0"/>
      <color theme="0"/>
      <name val="Calibri"/>
    </font>
    <font>
      <sz val="11.0"/>
      <color theme="0"/>
      <name val="Calibri"/>
    </font>
    <font>
      <b/>
      <sz val="10.0"/>
      <color theme="0"/>
      <name val="Arial"/>
    </font>
    <font>
      <sz val="11.0"/>
      <color theme="1"/>
      <name val="Aptos"/>
    </font>
    <font>
      <sz val="11.0"/>
      <color rgb="FF000000"/>
      <name val="Calibri"/>
    </font>
  </fonts>
  <fills count="8">
    <fill>
      <patternFill patternType="none"/>
    </fill>
    <fill>
      <patternFill patternType="lightGray"/>
    </fill>
    <fill>
      <patternFill patternType="solid">
        <fgColor rgb="FFC0C0C0"/>
        <bgColor rgb="FFC0C0C0"/>
      </patternFill>
    </fill>
    <fill>
      <patternFill patternType="solid">
        <fgColor rgb="FF92D050"/>
        <bgColor rgb="FF92D050"/>
      </patternFill>
    </fill>
    <fill>
      <patternFill patternType="solid">
        <fgColor rgb="FFC00000"/>
        <bgColor rgb="FFC00000"/>
      </patternFill>
    </fill>
    <fill>
      <patternFill patternType="solid">
        <fgColor rgb="FFC55A11"/>
        <bgColor rgb="FFC55A11"/>
      </patternFill>
    </fill>
    <fill>
      <patternFill patternType="solid">
        <fgColor theme="0"/>
        <bgColor theme="0"/>
      </patternFill>
    </fill>
    <fill>
      <patternFill patternType="solid">
        <fgColor rgb="FFF2F2F2"/>
        <bgColor rgb="FFF2F2F2"/>
      </patternFill>
    </fill>
  </fills>
  <borders count="28">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top/>
      <bottom/>
    </border>
    <border>
      <right/>
      <top/>
      <bottom/>
    </border>
    <border>
      <left/>
      <top/>
      <bottom style="thin">
        <color rgb="FF000000"/>
      </bottom>
    </border>
    <border>
      <top/>
      <bottom style="thin">
        <color rgb="FF000000"/>
      </bottom>
    </border>
    <border>
      <right/>
      <top/>
      <bottom style="thin">
        <color rgb="FF000000"/>
      </bottom>
    </border>
    <border>
      <left/>
      <right style="thin">
        <color rgb="FF000000"/>
      </right>
      <top style="thin">
        <color rgb="FF000000"/>
      </top>
      <bottom style="thin">
        <color rgb="FF000000"/>
      </bottom>
    </border>
    <border>
      <left style="medium">
        <color rgb="FF000000"/>
      </left>
      <top style="medium">
        <color rgb="FF000000"/>
      </top>
    </border>
    <border>
      <left style="medium">
        <color rgb="FF000000"/>
      </left>
      <right style="medium">
        <color rgb="FF000000"/>
      </right>
      <top style="medium">
        <color rgb="FF000000"/>
      </top>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rder>
    <border>
      <left style="medium">
        <color rgb="FF000000"/>
      </left>
      <right style="medium">
        <color rgb="FF000000"/>
      </right>
    </border>
    <border>
      <left style="thin">
        <color rgb="FF000000"/>
      </left>
      <right style="medium">
        <color rgb="FF000000"/>
      </right>
      <top style="thin">
        <color rgb="FF000000"/>
      </top>
      <bottom style="thin">
        <color rgb="FF000000"/>
      </bottom>
    </border>
    <border>
      <left style="medium">
        <color rgb="FF000000"/>
      </left>
      <bottom style="medium">
        <color rgb="FF000000"/>
      </bottom>
    </border>
    <border>
      <left style="medium">
        <color rgb="FF000000"/>
      </left>
      <right style="medium">
        <color rgb="FF000000"/>
      </right>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horizontal="left"/>
    </xf>
    <xf borderId="0" fillId="0" fontId="1" numFmtId="0" xfId="0" applyFont="1"/>
    <xf borderId="0" fillId="0" fontId="2" numFmtId="0" xfId="0" applyAlignment="1" applyFont="1">
      <alignment horizontal="left"/>
    </xf>
    <xf borderId="1" fillId="2" fontId="3" numFmtId="0" xfId="0" applyAlignment="1" applyBorder="1" applyFill="1" applyFont="1">
      <alignment horizontal="left"/>
    </xf>
    <xf borderId="1" fillId="2" fontId="3" numFmtId="0" xfId="0" applyAlignment="1" applyBorder="1" applyFont="1">
      <alignment horizontal="center"/>
    </xf>
    <xf borderId="2" fillId="2" fontId="3" numFmtId="0" xfId="0" applyAlignment="1" applyBorder="1" applyFont="1">
      <alignment horizontal="center"/>
    </xf>
    <xf borderId="1" fillId="0" fontId="3" numFmtId="0" xfId="0" applyAlignment="1" applyBorder="1" applyFont="1">
      <alignment horizontal="left"/>
    </xf>
    <xf borderId="1" fillId="0" fontId="1" numFmtId="0" xfId="0" applyAlignment="1" applyBorder="1" applyFont="1">
      <alignment horizontal="center"/>
    </xf>
    <xf borderId="0" fillId="0" fontId="1" numFmtId="0" xfId="0" applyAlignment="1" applyFont="1">
      <alignment horizontal="center"/>
    </xf>
    <xf borderId="1" fillId="0" fontId="1" numFmtId="0" xfId="0" applyAlignment="1" applyBorder="1" applyFont="1">
      <alignment horizontal="center" shrinkToFit="0" vertical="top" wrapText="1"/>
    </xf>
    <xf borderId="0" fillId="0" fontId="1" numFmtId="0" xfId="0" applyAlignment="1" applyFont="1">
      <alignment horizontal="center" shrinkToFit="0" wrapText="1"/>
    </xf>
    <xf borderId="0" fillId="0" fontId="3" numFmtId="0" xfId="0" applyAlignment="1" applyFont="1">
      <alignment horizontal="left"/>
    </xf>
    <xf borderId="3" fillId="0" fontId="4" numFmtId="0" xfId="0" applyAlignment="1" applyBorder="1" applyFont="1">
      <alignment horizontal="center" vertical="center"/>
    </xf>
    <xf borderId="3" fillId="0" fontId="4" numFmtId="9" xfId="0" applyAlignment="1" applyBorder="1" applyFont="1" applyNumberFormat="1">
      <alignment horizontal="center" vertical="center"/>
    </xf>
    <xf borderId="1" fillId="3" fontId="4" numFmtId="0" xfId="0" applyAlignment="1" applyBorder="1" applyFill="1" applyFont="1">
      <alignment horizontal="left" shrinkToFit="0" vertical="top" wrapText="1"/>
    </xf>
    <xf borderId="1" fillId="0" fontId="5" numFmtId="164" xfId="0" applyAlignment="1" applyBorder="1" applyFont="1" applyNumberFormat="1">
      <alignment horizontal="right" shrinkToFit="0" wrapText="1"/>
    </xf>
    <xf borderId="4" fillId="0" fontId="1" numFmtId="0" xfId="0" applyBorder="1" applyFont="1"/>
    <xf borderId="1" fillId="0" fontId="6" numFmtId="165" xfId="0" applyAlignment="1" applyBorder="1" applyFont="1" applyNumberFormat="1">
      <alignment vertical="top"/>
    </xf>
    <xf borderId="5" fillId="0" fontId="7" numFmtId="0" xfId="0" applyBorder="1" applyFont="1"/>
    <xf borderId="1" fillId="0" fontId="1" numFmtId="166" xfId="0" applyAlignment="1" applyBorder="1" applyFont="1" applyNumberFormat="1">
      <alignment vertical="top"/>
    </xf>
    <xf borderId="4" fillId="0" fontId="1" numFmtId="167" xfId="0" applyBorder="1" applyFont="1" applyNumberFormat="1"/>
    <xf borderId="1" fillId="0" fontId="1" numFmtId="0" xfId="0" applyAlignment="1" applyBorder="1" applyFont="1">
      <alignment vertical="top"/>
    </xf>
    <xf borderId="6" fillId="0" fontId="7" numFmtId="0" xfId="0" applyBorder="1" applyFont="1"/>
    <xf borderId="7" fillId="4" fontId="8" numFmtId="0" xfId="0" applyAlignment="1" applyBorder="1" applyFill="1" applyFont="1">
      <alignment horizontal="center" vertical="top"/>
    </xf>
    <xf borderId="8" fillId="0" fontId="7" numFmtId="0" xfId="0" applyBorder="1" applyFont="1"/>
    <xf borderId="9" fillId="0" fontId="7" numFmtId="0" xfId="0" applyBorder="1" applyFont="1"/>
    <xf borderId="10" fillId="5" fontId="8" numFmtId="0" xfId="0" applyAlignment="1" applyBorder="1" applyFill="1" applyFont="1">
      <alignment horizontal="center" vertical="top"/>
    </xf>
    <xf borderId="11" fillId="0" fontId="7" numFmtId="0" xfId="0" applyBorder="1" applyFont="1"/>
    <xf borderId="12" fillId="0" fontId="7" numFmtId="0" xfId="0" applyBorder="1" applyFont="1"/>
    <xf borderId="0" fillId="0" fontId="9" numFmtId="0" xfId="0" applyAlignment="1" applyFont="1">
      <alignment shrinkToFit="0" vertical="center" wrapText="1"/>
    </xf>
    <xf borderId="1" fillId="4" fontId="10" numFmtId="0" xfId="0" applyAlignment="1" applyBorder="1" applyFont="1">
      <alignment horizontal="center" shrinkToFit="0" vertical="top" wrapText="1"/>
    </xf>
    <xf borderId="1" fillId="4" fontId="10" numFmtId="0" xfId="0" applyAlignment="1" applyBorder="1" applyFont="1">
      <alignment horizontal="left" shrinkToFit="0" vertical="center" wrapText="1"/>
    </xf>
    <xf borderId="1" fillId="4" fontId="10" numFmtId="0" xfId="0" applyAlignment="1" applyBorder="1" applyFont="1">
      <alignment horizontal="center" shrinkToFit="0" vertical="center" wrapText="1"/>
    </xf>
    <xf borderId="13" fillId="4" fontId="10" numFmtId="0" xfId="0" applyAlignment="1" applyBorder="1" applyFont="1">
      <alignment horizontal="center" shrinkToFit="0" vertical="center" wrapText="1"/>
    </xf>
    <xf borderId="1" fillId="5" fontId="10" numFmtId="0" xfId="0" applyAlignment="1" applyBorder="1" applyFont="1">
      <alignment horizontal="center" shrinkToFit="0" vertical="center" wrapText="1"/>
    </xf>
    <xf borderId="2" fillId="6" fontId="9" numFmtId="0" xfId="0" applyAlignment="1" applyBorder="1" applyFill="1" applyFont="1">
      <alignment shrinkToFit="0" vertical="center" wrapText="1"/>
    </xf>
    <xf borderId="1" fillId="0" fontId="4" numFmtId="0" xfId="0" applyAlignment="1" applyBorder="1" applyFont="1">
      <alignment horizontal="left" shrinkToFit="0" vertical="top" wrapText="1"/>
    </xf>
    <xf borderId="1" fillId="0" fontId="1" numFmtId="0" xfId="0" applyAlignment="1" applyBorder="1" applyFont="1">
      <alignment shrinkToFit="0" vertical="top" wrapText="1"/>
    </xf>
    <xf borderId="3" fillId="0" fontId="1" numFmtId="0" xfId="0" applyAlignment="1" applyBorder="1" applyFont="1">
      <alignment horizontal="left" shrinkToFit="0" vertical="top" wrapText="1"/>
    </xf>
    <xf borderId="1" fillId="6" fontId="1" numFmtId="168" xfId="0" applyAlignment="1" applyBorder="1" applyFont="1" applyNumberFormat="1">
      <alignment shrinkToFit="0" vertical="center" wrapText="1"/>
    </xf>
    <xf borderId="1" fillId="6" fontId="1" numFmtId="168" xfId="0" applyAlignment="1" applyBorder="1" applyFont="1" applyNumberFormat="1">
      <alignment horizontal="center" shrinkToFit="0" vertical="center" wrapText="1"/>
    </xf>
    <xf borderId="1" fillId="6" fontId="1" numFmtId="10" xfId="0" applyAlignment="1" applyBorder="1" applyFont="1" applyNumberFormat="1">
      <alignment horizontal="left" shrinkToFit="0" vertical="top" wrapText="1"/>
    </xf>
    <xf borderId="1" fillId="0" fontId="1" numFmtId="0" xfId="0" applyAlignment="1" applyBorder="1" applyFont="1">
      <alignment horizontal="left" shrinkToFit="0" vertical="top" wrapText="1"/>
    </xf>
    <xf borderId="3" fillId="0" fontId="6" numFmtId="0" xfId="0" applyAlignment="1" applyBorder="1" applyFont="1">
      <alignment horizontal="left" shrinkToFit="0" vertical="top" wrapText="1"/>
    </xf>
    <xf borderId="1" fillId="6" fontId="1" numFmtId="0" xfId="0" applyAlignment="1" applyBorder="1" applyFont="1">
      <alignment horizontal="left" shrinkToFit="0" vertical="top" wrapText="1"/>
    </xf>
    <xf borderId="1" fillId="6" fontId="1" numFmtId="0" xfId="0" applyAlignment="1" applyBorder="1" applyFont="1">
      <alignment shrinkToFit="0" vertical="top" wrapText="1"/>
    </xf>
    <xf borderId="1" fillId="0" fontId="1" numFmtId="0" xfId="0" applyAlignment="1" applyBorder="1" applyFont="1">
      <alignment shrinkToFit="0" vertical="center" wrapText="1"/>
    </xf>
    <xf borderId="1" fillId="6" fontId="1" numFmtId="0" xfId="0" applyAlignment="1" applyBorder="1" applyFont="1">
      <alignment horizontal="center" shrinkToFit="0" vertical="top" wrapText="1"/>
    </xf>
    <xf borderId="1" fillId="6" fontId="1" numFmtId="0" xfId="0" applyAlignment="1" applyBorder="1" applyFont="1">
      <alignment shrinkToFit="0" vertical="center" wrapText="1"/>
    </xf>
    <xf borderId="0" fillId="0" fontId="1" numFmtId="0" xfId="0" applyAlignment="1" applyFont="1">
      <alignment shrinkToFit="0" vertical="top" wrapText="1"/>
    </xf>
    <xf borderId="1" fillId="0" fontId="11" numFmtId="0" xfId="0" applyAlignment="1" applyBorder="1" applyFont="1">
      <alignment horizontal="left" shrinkToFit="0" vertical="top" wrapText="1"/>
    </xf>
    <xf borderId="1" fillId="0" fontId="1" numFmtId="0" xfId="0" applyAlignment="1" applyBorder="1" applyFont="1">
      <alignment horizontal="left" shrinkToFit="0" vertical="center" wrapText="1"/>
    </xf>
    <xf borderId="1" fillId="0" fontId="1" numFmtId="168" xfId="0" applyAlignment="1" applyBorder="1" applyFont="1" applyNumberFormat="1">
      <alignment shrinkToFit="0" vertical="top" wrapText="1"/>
    </xf>
    <xf borderId="1" fillId="0" fontId="1" numFmtId="10" xfId="0" applyAlignment="1" applyBorder="1" applyFont="1" applyNumberFormat="1">
      <alignment horizontal="left" shrinkToFit="0" vertical="top" wrapText="1"/>
    </xf>
    <xf borderId="1" fillId="0" fontId="11" numFmtId="0" xfId="0" applyAlignment="1" applyBorder="1" applyFont="1">
      <alignment horizontal="left" shrinkToFit="0" vertical="center" wrapText="1"/>
    </xf>
    <xf borderId="1" fillId="7" fontId="1" numFmtId="0" xfId="0" applyAlignment="1" applyBorder="1" applyFill="1" applyFont="1">
      <alignment horizontal="center" shrinkToFit="0" vertical="top" wrapText="1"/>
    </xf>
    <xf borderId="0" fillId="0" fontId="1" numFmtId="0" xfId="0" applyAlignment="1" applyFont="1">
      <alignment horizontal="left" vertical="center"/>
    </xf>
    <xf borderId="0" fillId="0" fontId="2" numFmtId="0" xfId="0" applyFont="1"/>
    <xf borderId="1" fillId="0" fontId="3" numFmtId="0" xfId="0" applyAlignment="1" applyBorder="1" applyFont="1">
      <alignment horizontal="center"/>
    </xf>
    <xf borderId="1" fillId="0" fontId="2" numFmtId="0" xfId="0" applyAlignment="1" applyBorder="1" applyFont="1">
      <alignment horizontal="center"/>
    </xf>
    <xf borderId="1" fillId="0" fontId="2" numFmtId="0" xfId="0" applyAlignment="1" applyBorder="1" applyFont="1">
      <alignment horizontal="center" shrinkToFit="0" wrapText="1"/>
    </xf>
    <xf borderId="14" fillId="0" fontId="4" numFmtId="0" xfId="0" applyAlignment="1" applyBorder="1" applyFont="1">
      <alignment horizontal="center" shrinkToFit="0" vertical="center" wrapText="1"/>
    </xf>
    <xf borderId="15" fillId="0" fontId="4" numFmtId="9" xfId="0" applyAlignment="1" applyBorder="1" applyFont="1" applyNumberFormat="1">
      <alignment horizontal="center" vertical="center"/>
    </xf>
    <xf borderId="16" fillId="0" fontId="2" numFmtId="0" xfId="0" applyAlignment="1" applyBorder="1" applyFont="1">
      <alignment horizontal="left" shrinkToFit="0" vertical="top" wrapText="1"/>
    </xf>
    <xf borderId="17" fillId="0" fontId="2" numFmtId="164" xfId="0" applyAlignment="1" applyBorder="1" applyFont="1" applyNumberFormat="1">
      <alignment horizontal="right" shrinkToFit="0" wrapText="1"/>
    </xf>
    <xf borderId="18" fillId="0" fontId="2" numFmtId="0" xfId="0" applyBorder="1" applyFont="1"/>
    <xf borderId="19" fillId="0" fontId="7" numFmtId="0" xfId="0" applyBorder="1" applyFont="1"/>
    <xf borderId="20" fillId="0" fontId="7" numFmtId="0" xfId="0" applyBorder="1" applyFont="1"/>
    <xf borderId="4" fillId="0" fontId="2" numFmtId="0" xfId="0" applyAlignment="1" applyBorder="1" applyFont="1">
      <alignment horizontal="left" shrinkToFit="0" vertical="top" wrapText="1"/>
    </xf>
    <xf borderId="1" fillId="0" fontId="2" numFmtId="164" xfId="0" applyAlignment="1" applyBorder="1" applyFont="1" applyNumberFormat="1">
      <alignment horizontal="right" shrinkToFit="0" wrapText="1"/>
    </xf>
    <xf borderId="21" fillId="0" fontId="2" numFmtId="169" xfId="0" applyAlignment="1" applyBorder="1" applyFont="1" applyNumberFormat="1">
      <alignment horizontal="right" vertical="top"/>
    </xf>
    <xf borderId="0" fillId="0" fontId="2" numFmtId="169" xfId="0" applyAlignment="1" applyFont="1" applyNumberFormat="1">
      <alignment horizontal="right" vertical="top"/>
    </xf>
    <xf borderId="21" fillId="0" fontId="2" numFmtId="0" xfId="0" applyBorder="1" applyFont="1"/>
    <xf borderId="4" fillId="0" fontId="2" numFmtId="0" xfId="0" applyBorder="1" applyFont="1"/>
    <xf borderId="22" fillId="0" fontId="7" numFmtId="0" xfId="0" applyBorder="1" applyFont="1"/>
    <xf borderId="23" fillId="0" fontId="7" numFmtId="0" xfId="0" applyBorder="1" applyFont="1"/>
    <xf borderId="24" fillId="6" fontId="2" numFmtId="0" xfId="0" applyAlignment="1" applyBorder="1" applyFont="1">
      <alignment horizontal="left" shrinkToFit="0" vertical="top" wrapText="1"/>
    </xf>
    <xf borderId="25" fillId="6" fontId="2" numFmtId="164" xfId="0" applyAlignment="1" applyBorder="1" applyFont="1" applyNumberFormat="1">
      <alignment horizontal="right" shrinkToFit="0" wrapText="1"/>
    </xf>
    <xf borderId="26" fillId="0" fontId="2" numFmtId="0" xfId="0" applyBorder="1" applyFont="1"/>
    <xf borderId="10" fillId="4" fontId="8" numFmtId="0" xfId="0" applyAlignment="1" applyBorder="1" applyFont="1">
      <alignment horizontal="center" vertical="top"/>
    </xf>
    <xf borderId="1" fillId="2" fontId="3" numFmtId="0" xfId="0" applyAlignment="1" applyBorder="1" applyFont="1">
      <alignment horizontal="center" vertical="top"/>
    </xf>
    <xf borderId="27" fillId="5" fontId="10"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top" wrapText="1"/>
    </xf>
    <xf borderId="1" fillId="0" fontId="2" numFmtId="0" xfId="0" applyBorder="1" applyFont="1"/>
    <xf borderId="1" fillId="0" fontId="2" numFmtId="9" xfId="0" applyBorder="1" applyFont="1" applyNumberFormat="1"/>
    <xf borderId="1" fillId="0" fontId="2" numFmtId="0" xfId="0" applyAlignment="1" applyBorder="1" applyFont="1">
      <alignment horizontal="left" shrinkToFit="0" vertical="center" wrapText="1"/>
    </xf>
    <xf borderId="1" fillId="0" fontId="2" numFmtId="0" xfId="0" applyAlignment="1" applyBorder="1" applyFont="1">
      <alignment shrinkToFit="0" wrapText="1"/>
    </xf>
    <xf borderId="1" fillId="0" fontId="2" numFmtId="0" xfId="0" applyAlignment="1" applyBorder="1" applyFont="1">
      <alignment shrinkToFit="0" vertical="top" wrapText="1"/>
    </xf>
    <xf borderId="1" fillId="0" fontId="12"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 fillId="0" fontId="12" numFmtId="0" xfId="0" applyAlignment="1" applyBorder="1" applyFont="1">
      <alignment shrinkToFit="0" vertical="top" wrapText="1"/>
    </xf>
    <xf borderId="1" fillId="0" fontId="1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3</xdr:row>
      <xdr:rowOff>-28575</xdr:rowOff>
    </xdr:from>
    <xdr:ext cx="13154025" cy="8105775"/>
    <xdr:sp>
      <xdr:nvSpPr>
        <xdr:cNvPr id="3" name="Shape 3"/>
        <xdr:cNvSpPr txBox="1"/>
      </xdr:nvSpPr>
      <xdr:spPr>
        <a:xfrm>
          <a:off x="0" y="0"/>
          <a:ext cx="10692000" cy="7560000"/>
        </a:xfrm>
        <a:prstGeom prst="rect">
          <a:avLst/>
        </a:prstGeom>
        <a:solidFill>
          <a:schemeClr val="lt2"/>
        </a:solidFill>
        <a:ln cap="flat" cmpd="sng" w="571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rPr b="0" i="0" lang="en-US" sz="1200">
              <a:solidFill>
                <a:schemeClr val="dk1"/>
              </a:solidFill>
              <a:latin typeface="Arial"/>
              <a:ea typeface="Arial"/>
              <a:cs typeface="Arial"/>
              <a:sym typeface="Arial"/>
            </a:rPr>
            <a:t>Explicación del diligenciamiento de pliego funcional</a:t>
          </a:r>
          <a:r>
            <a:rPr b="0" i="0" lang="en-US" sz="1200">
              <a:solidFill>
                <a:schemeClr val="dk1"/>
              </a:solidFill>
              <a:latin typeface="Arial"/>
              <a:ea typeface="Arial"/>
              <a:cs typeface="Arial"/>
              <a:sym typeface="Arial"/>
            </a:rPr>
            <a:t> y tecnico </a:t>
          </a:r>
          <a:r>
            <a:rPr b="0" i="0" lang="en-US" sz="1200">
              <a:solidFill>
                <a:schemeClr val="dk1"/>
              </a:solidFill>
              <a:latin typeface="Arial"/>
              <a:ea typeface="Arial"/>
              <a:cs typeface="Arial"/>
              <a:sym typeface="Arial"/>
            </a:rPr>
            <a:t>: Los proveedores deberán completar la matriz de evaluación seleccionando, para cada ítem funcional, la opción de soporte que corresponda según las categorías definidas en la tabla de referencia (A, B, C o NS). A continuación se detalla la forma correcta de diligenciamiento:</a:t>
          </a:r>
          <a:endParaRPr sz="1400"/>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rPr b="1" i="0" lang="en-US" sz="1200">
              <a:solidFill>
                <a:srgbClr val="C00000"/>
              </a:solidFill>
              <a:latin typeface="Calibri"/>
              <a:ea typeface="Calibri"/>
              <a:cs typeface="Calibri"/>
              <a:sym typeface="Calibri"/>
            </a:rPr>
            <a:t>1. Selección de la Opción de Soporte</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Para cada ítem funcional descrito en la matriz, el proveedor debe seleccionar </a:t>
          </a:r>
          <a:r>
            <a:rPr b="1" i="0" lang="en-US" sz="1200">
              <a:solidFill>
                <a:schemeClr val="dk1"/>
              </a:solidFill>
              <a:latin typeface="Calibri"/>
              <a:ea typeface="Calibri"/>
              <a:cs typeface="Calibri"/>
              <a:sym typeface="Calibri"/>
            </a:rPr>
            <a:t>únicamente una opción en la columna tipo de soporte funcionalidad </a:t>
          </a:r>
          <a:r>
            <a:rPr b="0" i="0" lang="en-US" sz="1200">
              <a:solidFill>
                <a:schemeClr val="dk1"/>
              </a:solidFill>
              <a:latin typeface="Calibri"/>
              <a:ea typeface="Calibri"/>
              <a:cs typeface="Calibri"/>
              <a:sym typeface="Calibri"/>
            </a:rPr>
            <a:t> entre:</a:t>
          </a:r>
          <a:endParaRPr sz="1400"/>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rPr b="1" i="0" lang="en-US" sz="1200">
              <a:solidFill>
                <a:srgbClr val="C00000"/>
              </a:solidFill>
              <a:latin typeface="Calibri"/>
              <a:ea typeface="Calibri"/>
              <a:cs typeface="Calibri"/>
              <a:sym typeface="Calibri"/>
            </a:rPr>
            <a:t>2. Reglas de Diligenciamiento por Tipo de Opción</a:t>
          </a:r>
          <a:endParaRPr sz="1400"/>
        </a:p>
        <a:p>
          <a:pPr indent="0" lvl="0" marL="0" rtl="0" algn="l">
            <a:spcBef>
              <a:spcPts val="0"/>
            </a:spcBef>
            <a:spcAft>
              <a:spcPts val="0"/>
            </a:spcAft>
            <a:buNone/>
          </a:pPr>
          <a:r>
            <a:t/>
          </a:r>
          <a:endParaRPr b="1" i="0" sz="1200">
            <a:solidFill>
              <a:schemeClr val="dk1"/>
            </a:solidFill>
            <a:latin typeface="Calibri"/>
            <a:ea typeface="Calibri"/>
            <a:cs typeface="Calibri"/>
            <a:sym typeface="Calibri"/>
          </a:endParaRPr>
        </a:p>
        <a:p>
          <a:pPr indent="0" lvl="0" marL="0" rtl="0" algn="l">
            <a:spcBef>
              <a:spcPts val="0"/>
            </a:spcBef>
            <a:spcAft>
              <a:spcPts val="0"/>
            </a:spcAft>
            <a:buNone/>
          </a:pPr>
          <a:r>
            <a:rPr b="1" i="0" lang="en-US" sz="1200">
              <a:solidFill>
                <a:srgbClr val="C00000"/>
              </a:solidFill>
              <a:latin typeface="Calibri"/>
              <a:ea typeface="Calibri"/>
              <a:cs typeface="Calibri"/>
              <a:sym typeface="Calibri"/>
            </a:rPr>
            <a:t>Opción A – Soportado listo para utilizarse</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Seleccione esta opción si la funcionalidad ya existe y se entrega operativa sin requerir ajustes.</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No se requiere información adicional.</a:t>
          </a:r>
          <a:endParaRPr sz="1400"/>
        </a:p>
        <a:p>
          <a:pPr indent="0" lvl="0" marL="0" rtl="0" algn="l">
            <a:spcBef>
              <a:spcPts val="0"/>
            </a:spcBef>
            <a:spcAft>
              <a:spcPts val="0"/>
            </a:spcAft>
            <a:buNone/>
          </a:pPr>
          <a:r>
            <a:t/>
          </a:r>
          <a:endParaRPr b="0" i="0" sz="1200">
            <a:solidFill>
              <a:schemeClr val="dk1"/>
            </a:solidFill>
            <a:latin typeface="Calibri"/>
            <a:ea typeface="Calibri"/>
            <a:cs typeface="Calibri"/>
            <a:sym typeface="Calibri"/>
          </a:endParaRPr>
        </a:p>
        <a:p>
          <a:pPr indent="0" lvl="0" marL="0" rtl="0" algn="l">
            <a:spcBef>
              <a:spcPts val="0"/>
            </a:spcBef>
            <a:spcAft>
              <a:spcPts val="0"/>
            </a:spcAft>
            <a:buNone/>
          </a:pPr>
          <a:r>
            <a:rPr b="1" i="0" lang="en-US" sz="1200">
              <a:solidFill>
                <a:srgbClr val="C00000"/>
              </a:solidFill>
              <a:latin typeface="Calibri"/>
              <a:ea typeface="Calibri"/>
              <a:cs typeface="Calibri"/>
              <a:sym typeface="Calibri"/>
            </a:rPr>
            <a:t>Opción B – Soportado mediante desarrollo sin costo</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Si la funcionalidad requiere desarrollo pero </a:t>
          </a:r>
          <a:r>
            <a:rPr b="1" i="0" lang="en-US" sz="1200">
              <a:solidFill>
                <a:schemeClr val="dk1"/>
              </a:solidFill>
              <a:latin typeface="Calibri"/>
              <a:ea typeface="Calibri"/>
              <a:cs typeface="Calibri"/>
              <a:sym typeface="Calibri"/>
            </a:rPr>
            <a:t>no genera costo adicional</a:t>
          </a:r>
          <a:r>
            <a:rPr b="0" i="0" lang="en-US" sz="1200">
              <a:solidFill>
                <a:schemeClr val="dk1"/>
              </a:solidFill>
              <a:latin typeface="Calibri"/>
              <a:ea typeface="Calibri"/>
              <a:cs typeface="Calibri"/>
              <a:sym typeface="Calibri"/>
            </a:rPr>
            <a:t>, el proveedor debe:</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Marcar la opción </a:t>
          </a:r>
          <a:r>
            <a:rPr b="1" i="0" lang="en-US" sz="1200">
              <a:solidFill>
                <a:schemeClr val="dk1"/>
              </a:solidFill>
              <a:latin typeface="Calibri"/>
              <a:ea typeface="Calibri"/>
              <a:cs typeface="Calibri"/>
              <a:sym typeface="Calibri"/>
            </a:rPr>
            <a:t>B</a:t>
          </a:r>
          <a:r>
            <a:rPr b="0" i="0" lang="en-US" sz="1200">
              <a:solidFill>
                <a:schemeClr val="dk1"/>
              </a:solidFill>
              <a:latin typeface="Calibri"/>
              <a:ea typeface="Calibri"/>
              <a:cs typeface="Calibri"/>
              <a:sym typeface="Calibri"/>
            </a:rPr>
            <a:t>.</a:t>
          </a:r>
          <a:endParaRPr sz="1400"/>
        </a:p>
        <a:p>
          <a:pPr indent="0" lvl="0" marL="0" rtl="0" algn="l">
            <a:spcBef>
              <a:spcPts val="0"/>
            </a:spcBef>
            <a:spcAft>
              <a:spcPts val="0"/>
            </a:spcAft>
            <a:buNone/>
          </a:pPr>
          <a:r>
            <a:rPr b="1" i="0" lang="en-US" sz="1200">
              <a:solidFill>
                <a:schemeClr val="dk1"/>
              </a:solidFill>
              <a:latin typeface="Calibri"/>
              <a:ea typeface="Calibri"/>
              <a:cs typeface="Calibri"/>
              <a:sym typeface="Calibri"/>
            </a:rPr>
            <a:t>Especificar el tiempo estimado de desarrollo</a:t>
          </a:r>
          <a:r>
            <a:rPr b="0" i="0" lang="en-US" sz="1200">
              <a:solidFill>
                <a:schemeClr val="dk1"/>
              </a:solidFill>
              <a:latin typeface="Calibri"/>
              <a:ea typeface="Calibri"/>
              <a:cs typeface="Calibri"/>
              <a:sym typeface="Calibri"/>
            </a:rPr>
            <a:t> en horas.</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Nota: Este tiempo deberá ser coherente con el alcance técnico presentado.</a:t>
          </a:r>
          <a:endParaRPr sz="1400"/>
        </a:p>
        <a:p>
          <a:pPr indent="0" lvl="0" marL="0" rtl="0" algn="l">
            <a:spcBef>
              <a:spcPts val="0"/>
            </a:spcBef>
            <a:spcAft>
              <a:spcPts val="0"/>
            </a:spcAft>
            <a:buNone/>
          </a:pPr>
          <a:r>
            <a:t/>
          </a:r>
          <a:endParaRPr b="0" i="0" sz="1200">
            <a:solidFill>
              <a:schemeClr val="dk1"/>
            </a:solidFill>
            <a:latin typeface="Calibri"/>
            <a:ea typeface="Calibri"/>
            <a:cs typeface="Calibri"/>
            <a:sym typeface="Calibri"/>
          </a:endParaRPr>
        </a:p>
        <a:p>
          <a:pPr indent="0" lvl="0" marL="0" rtl="0" algn="l">
            <a:spcBef>
              <a:spcPts val="0"/>
            </a:spcBef>
            <a:spcAft>
              <a:spcPts val="0"/>
            </a:spcAft>
            <a:buNone/>
          </a:pPr>
          <a:r>
            <a:rPr b="1" i="0" lang="en-US" sz="1200">
              <a:solidFill>
                <a:srgbClr val="C00000"/>
              </a:solidFill>
              <a:latin typeface="Calibri"/>
              <a:ea typeface="Calibri"/>
              <a:cs typeface="Calibri"/>
              <a:sym typeface="Calibri"/>
            </a:rPr>
            <a:t>Opción C – Soportado mediante desarrollo con costo adicional</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Si la funcionalidad requiere desarrollo y </a:t>
          </a:r>
          <a:r>
            <a:rPr b="1" i="0" lang="en-US" sz="1200">
              <a:solidFill>
                <a:schemeClr val="dk1"/>
              </a:solidFill>
              <a:latin typeface="Calibri"/>
              <a:ea typeface="Calibri"/>
              <a:cs typeface="Calibri"/>
              <a:sym typeface="Calibri"/>
            </a:rPr>
            <a:t>sí genera costo adicional</a:t>
          </a:r>
          <a:r>
            <a:rPr b="0" i="0" lang="en-US" sz="1200">
              <a:solidFill>
                <a:schemeClr val="dk1"/>
              </a:solidFill>
              <a:latin typeface="Calibri"/>
              <a:ea typeface="Calibri"/>
              <a:cs typeface="Calibri"/>
              <a:sym typeface="Calibri"/>
            </a:rPr>
            <a:t>, el proveedor debe:</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Marcar la opción </a:t>
          </a:r>
          <a:r>
            <a:rPr b="1" i="0" lang="en-US" sz="1200">
              <a:solidFill>
                <a:schemeClr val="dk1"/>
              </a:solidFill>
              <a:latin typeface="Calibri"/>
              <a:ea typeface="Calibri"/>
              <a:cs typeface="Calibri"/>
              <a:sym typeface="Calibri"/>
            </a:rPr>
            <a:t>C</a:t>
          </a:r>
          <a:r>
            <a:rPr b="0" i="0" lang="en-US" sz="1200">
              <a:solidFill>
                <a:schemeClr val="dk1"/>
              </a:solidFill>
              <a:latin typeface="Calibri"/>
              <a:ea typeface="Calibri"/>
              <a:cs typeface="Calibri"/>
              <a:sym typeface="Calibri"/>
            </a:rPr>
            <a:t>.</a:t>
          </a:r>
          <a:endParaRPr sz="1400"/>
        </a:p>
        <a:p>
          <a:pPr indent="0" lvl="0" marL="0" rtl="0" algn="l">
            <a:spcBef>
              <a:spcPts val="0"/>
            </a:spcBef>
            <a:spcAft>
              <a:spcPts val="0"/>
            </a:spcAft>
            <a:buNone/>
          </a:pPr>
          <a:r>
            <a:rPr b="1" i="0" lang="en-US" sz="1200">
              <a:solidFill>
                <a:schemeClr val="dk1"/>
              </a:solidFill>
              <a:latin typeface="Calibri"/>
              <a:ea typeface="Calibri"/>
              <a:cs typeface="Calibri"/>
              <a:sym typeface="Calibri"/>
            </a:rPr>
            <a:t>Indicar el tiempo estimado de desarrollo</a:t>
          </a:r>
          <a:r>
            <a:rPr b="0" i="0" lang="en-US" sz="1200">
              <a:solidFill>
                <a:schemeClr val="dk1"/>
              </a:solidFill>
              <a:latin typeface="Calibri"/>
              <a:ea typeface="Calibri"/>
              <a:cs typeface="Calibri"/>
              <a:sym typeface="Calibri"/>
            </a:rPr>
            <a:t> en horas.</a:t>
          </a:r>
          <a:endParaRPr sz="1400"/>
        </a:p>
        <a:p>
          <a:pPr indent="0" lvl="0" marL="0" rtl="0" algn="l">
            <a:spcBef>
              <a:spcPts val="0"/>
            </a:spcBef>
            <a:spcAft>
              <a:spcPts val="0"/>
            </a:spcAft>
            <a:buNone/>
          </a:pPr>
          <a:r>
            <a:rPr b="1" i="0" lang="en-US" sz="1200">
              <a:solidFill>
                <a:schemeClr val="dk1"/>
              </a:solidFill>
              <a:latin typeface="Calibri"/>
              <a:ea typeface="Calibri"/>
              <a:cs typeface="Calibri"/>
              <a:sym typeface="Calibri"/>
            </a:rPr>
            <a:t>Incluir el costo aproximado</a:t>
          </a:r>
          <a:r>
            <a:rPr b="0" i="0" lang="en-US" sz="1200">
              <a:solidFill>
                <a:schemeClr val="dk1"/>
              </a:solidFill>
              <a:latin typeface="Calibri"/>
              <a:ea typeface="Calibri"/>
              <a:cs typeface="Calibri"/>
              <a:sym typeface="Calibri"/>
            </a:rPr>
            <a:t> en pesos (COP) por dicho desarrollo.</a:t>
          </a:r>
          <a:br>
            <a:rPr b="0" i="0" lang="en-US" sz="1200">
              <a:solidFill>
                <a:schemeClr val="dk1"/>
              </a:solidFill>
              <a:latin typeface="Calibri"/>
              <a:ea typeface="Calibri"/>
              <a:cs typeface="Calibri"/>
              <a:sym typeface="Calibri"/>
            </a:rPr>
          </a:br>
          <a:r>
            <a:rPr b="0" i="0" lang="en-US" sz="1200">
              <a:solidFill>
                <a:schemeClr val="dk1"/>
              </a:solidFill>
              <a:latin typeface="Calibri"/>
              <a:ea typeface="Calibri"/>
              <a:cs typeface="Calibri"/>
              <a:sym typeface="Calibri"/>
            </a:rPr>
            <a:t>Este valor deberá estar también considerado en la </a:t>
          </a:r>
          <a:r>
            <a:rPr b="1" i="0" lang="en-US" sz="1200">
              <a:solidFill>
                <a:schemeClr val="dk1"/>
              </a:solidFill>
              <a:latin typeface="Calibri"/>
              <a:ea typeface="Calibri"/>
              <a:cs typeface="Calibri"/>
              <a:sym typeface="Calibri"/>
            </a:rPr>
            <a:t>propuesta económica</a:t>
          </a:r>
          <a:r>
            <a:rPr b="0" i="0" lang="en-US" sz="1200">
              <a:solidFill>
                <a:schemeClr val="dk1"/>
              </a:solidFill>
              <a:latin typeface="Calibri"/>
              <a:ea typeface="Calibri"/>
              <a:cs typeface="Calibri"/>
              <a:sym typeface="Calibri"/>
            </a:rPr>
            <a:t> oficial.</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Importante: La ausencia del estimado de horas o del costo en esta opción será considerada como información incompleta.</a:t>
          </a:r>
          <a:endParaRPr sz="1400"/>
        </a:p>
        <a:p>
          <a:pPr indent="0" lvl="0" marL="0" rtl="0" algn="l">
            <a:spcBef>
              <a:spcPts val="0"/>
            </a:spcBef>
            <a:spcAft>
              <a:spcPts val="0"/>
            </a:spcAft>
            <a:buNone/>
          </a:pPr>
          <a:r>
            <a:t/>
          </a:r>
          <a:endParaRPr b="0" i="0" sz="1200">
            <a:solidFill>
              <a:schemeClr val="dk1"/>
            </a:solidFill>
            <a:latin typeface="Calibri"/>
            <a:ea typeface="Calibri"/>
            <a:cs typeface="Calibri"/>
            <a:sym typeface="Calibri"/>
          </a:endParaRPr>
        </a:p>
        <a:p>
          <a:pPr indent="0" lvl="0" marL="0" rtl="0" algn="l">
            <a:spcBef>
              <a:spcPts val="0"/>
            </a:spcBef>
            <a:spcAft>
              <a:spcPts val="0"/>
            </a:spcAft>
            <a:buNone/>
          </a:pPr>
          <a:r>
            <a:rPr b="1" i="0" lang="en-US" sz="1200">
              <a:solidFill>
                <a:srgbClr val="C00000"/>
              </a:solidFill>
              <a:latin typeface="Calibri"/>
              <a:ea typeface="Calibri"/>
              <a:cs typeface="Calibri"/>
              <a:sym typeface="Calibri"/>
            </a:rPr>
            <a:t>Opción NS – No soportado</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Seleccione esta opción si la funcionalidad </a:t>
          </a:r>
          <a:r>
            <a:rPr b="1" i="0" lang="en-US" sz="1200">
              <a:solidFill>
                <a:schemeClr val="dk1"/>
              </a:solidFill>
              <a:latin typeface="Calibri"/>
              <a:ea typeface="Calibri"/>
              <a:cs typeface="Calibri"/>
              <a:sym typeface="Calibri"/>
            </a:rPr>
            <a:t>no es ofrecida</a:t>
          </a:r>
          <a:r>
            <a:rPr b="0" i="0" lang="en-US" sz="1200">
              <a:solidFill>
                <a:schemeClr val="dk1"/>
              </a:solidFill>
              <a:latin typeface="Calibri"/>
              <a:ea typeface="Calibri"/>
              <a:cs typeface="Calibri"/>
              <a:sym typeface="Calibri"/>
            </a:rPr>
            <a:t>, ni existente, ni desarrollable por el proveedor.</a:t>
          </a:r>
          <a:endParaRPr sz="1400"/>
        </a:p>
        <a:p>
          <a:pPr indent="0" lvl="0" marL="0" rtl="0" algn="l">
            <a:spcBef>
              <a:spcPts val="0"/>
            </a:spcBef>
            <a:spcAft>
              <a:spcPts val="0"/>
            </a:spcAft>
            <a:buNone/>
          </a:pPr>
          <a:r>
            <a:t/>
          </a:r>
          <a:endParaRPr b="0" i="0" sz="1100">
            <a:solidFill>
              <a:schemeClr val="lt1"/>
            </a:solidFill>
            <a:latin typeface="Calibri"/>
            <a:ea typeface="Calibri"/>
            <a:cs typeface="Calibri"/>
            <a:sym typeface="Calibri"/>
          </a:endParaRPr>
        </a:p>
        <a:p>
          <a:pPr indent="0" lvl="0" marL="0" rtl="0" algn="l">
            <a:spcBef>
              <a:spcPts val="0"/>
            </a:spcBef>
            <a:spcAft>
              <a:spcPts val="0"/>
            </a:spcAft>
            <a:buNone/>
          </a:pPr>
          <a:r>
            <a:t/>
          </a:r>
          <a:endParaRPr b="0" i="0" sz="1100">
            <a:solidFill>
              <a:schemeClr val="lt1"/>
            </a:solidFill>
            <a:latin typeface="Calibri"/>
            <a:ea typeface="Calibri"/>
            <a:cs typeface="Calibri"/>
            <a:sym typeface="Calibri"/>
          </a:endParaRPr>
        </a:p>
        <a:p>
          <a:pPr indent="0" lvl="0" marL="0" rtl="0" algn="l">
            <a:spcBef>
              <a:spcPts val="0"/>
            </a:spcBef>
            <a:spcAft>
              <a:spcPts val="0"/>
            </a:spcAft>
            <a:buNone/>
          </a:pPr>
          <a:r>
            <a:t/>
          </a:r>
          <a:endParaRPr b="0" i="0" sz="1200">
            <a:solidFill>
              <a:schemeClr val="lt1"/>
            </a:solidFill>
            <a:latin typeface="Arial"/>
            <a:ea typeface="Arial"/>
            <a:cs typeface="Arial"/>
            <a:sym typeface="Arial"/>
          </a:endParaRPr>
        </a:p>
      </xdr:txBody>
    </xdr:sp>
    <xdr:clientData fLocksWithSheet="0"/>
  </xdr:oneCellAnchor>
  <xdr:oneCellAnchor>
    <xdr:from>
      <xdr:col>3</xdr:col>
      <xdr:colOff>123825</xdr:colOff>
      <xdr:row>9</xdr:row>
      <xdr:rowOff>76200</xdr:rowOff>
    </xdr:from>
    <xdr:ext cx="3952875" cy="14763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590550</xdr:colOff>
      <xdr:row>2</xdr:row>
      <xdr:rowOff>152400</xdr:rowOff>
    </xdr:from>
    <xdr:ext cx="1466850" cy="10858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2124075</xdr:colOff>
      <xdr:row>1</xdr:row>
      <xdr:rowOff>19050</xdr:rowOff>
    </xdr:from>
    <xdr:ext cx="14020800" cy="7258050"/>
    <xdr:sp>
      <xdr:nvSpPr>
        <xdr:cNvPr id="4" name="Shape 4"/>
        <xdr:cNvSpPr txBox="1"/>
      </xdr:nvSpPr>
      <xdr:spPr>
        <a:xfrm>
          <a:off x="0" y="179550"/>
          <a:ext cx="10692000" cy="7200900"/>
        </a:xfrm>
        <a:prstGeom prst="rect">
          <a:avLst/>
        </a:prstGeom>
        <a:solidFill>
          <a:schemeClr val="lt2"/>
        </a:solidFill>
        <a:ln cap="flat" cmpd="sng" w="57150">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200">
              <a:solidFill>
                <a:schemeClr val="dk1"/>
              </a:solidFill>
              <a:latin typeface="Arial"/>
              <a:ea typeface="Arial"/>
              <a:cs typeface="Arial"/>
              <a:sym typeface="Arial"/>
            </a:rPr>
            <a:t>Explicación del diligenciamiento: Los proveedores deberán completar la matriz de evaluación seleccionando, para cada ítem funcional, la opción de soporte que corresponda según las categorías definidas en la tabla de referencia (A, B, C o NS). A continuación se detalla la forma correcta de diligenciamiento:</a:t>
          </a:r>
          <a:endParaRPr sz="1400"/>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rPr b="1" i="0" lang="en-US" sz="1200">
              <a:solidFill>
                <a:srgbClr val="FF0000"/>
              </a:solidFill>
              <a:latin typeface="Calibri"/>
              <a:ea typeface="Calibri"/>
              <a:cs typeface="Calibri"/>
              <a:sym typeface="Calibri"/>
            </a:rPr>
            <a:t>1. Selección de la Opción de Soporte</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Para cada ítem funcional descrito en la matriz, el proveedor debe marcar con una “X” </a:t>
          </a:r>
          <a:r>
            <a:rPr b="1" i="0" lang="en-US" sz="1200">
              <a:solidFill>
                <a:schemeClr val="dk1"/>
              </a:solidFill>
              <a:latin typeface="Calibri"/>
              <a:ea typeface="Calibri"/>
              <a:cs typeface="Calibri"/>
              <a:sym typeface="Calibri"/>
            </a:rPr>
            <a:t>únicamente una opción</a:t>
          </a:r>
          <a:r>
            <a:rPr b="0" i="0" lang="en-US" sz="1200">
              <a:solidFill>
                <a:schemeClr val="dk1"/>
              </a:solidFill>
              <a:latin typeface="Calibri"/>
              <a:ea typeface="Calibri"/>
              <a:cs typeface="Calibri"/>
              <a:sym typeface="Calibri"/>
            </a:rPr>
            <a:t> entre:</a:t>
          </a:r>
          <a:endParaRPr sz="1400"/>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rPr b="1" i="0" lang="en-US" sz="1200">
              <a:solidFill>
                <a:schemeClr val="dk1"/>
              </a:solidFill>
              <a:latin typeface="Calibri"/>
              <a:ea typeface="Calibri"/>
              <a:cs typeface="Calibri"/>
              <a:sym typeface="Calibri"/>
            </a:rPr>
            <a:t>2. </a:t>
          </a:r>
          <a:r>
            <a:rPr b="1" i="0" lang="en-US" sz="1200">
              <a:solidFill>
                <a:srgbClr val="FF0000"/>
              </a:solidFill>
              <a:latin typeface="Calibri"/>
              <a:ea typeface="Calibri"/>
              <a:cs typeface="Calibri"/>
              <a:sym typeface="Calibri"/>
            </a:rPr>
            <a:t>Reglas de Diligenciamiento por Tipo de Opción</a:t>
          </a:r>
          <a:endParaRPr sz="1400"/>
        </a:p>
        <a:p>
          <a:pPr indent="0" lvl="0" marL="0" rtl="0" algn="l">
            <a:spcBef>
              <a:spcPts val="0"/>
            </a:spcBef>
            <a:spcAft>
              <a:spcPts val="0"/>
            </a:spcAft>
            <a:buNone/>
          </a:pPr>
          <a:r>
            <a:t/>
          </a:r>
          <a:endParaRPr b="1" i="0" sz="1200">
            <a:solidFill>
              <a:srgbClr val="FF0000"/>
            </a:solidFill>
            <a:latin typeface="Calibri"/>
            <a:ea typeface="Calibri"/>
            <a:cs typeface="Calibri"/>
            <a:sym typeface="Calibri"/>
          </a:endParaRPr>
        </a:p>
        <a:p>
          <a:pPr indent="0" lvl="0" marL="0" rtl="0" algn="l">
            <a:spcBef>
              <a:spcPts val="0"/>
            </a:spcBef>
            <a:spcAft>
              <a:spcPts val="0"/>
            </a:spcAft>
            <a:buNone/>
          </a:pPr>
          <a:r>
            <a:rPr b="1" i="0" lang="en-US" sz="1200">
              <a:solidFill>
                <a:srgbClr val="FF0000"/>
              </a:solidFill>
              <a:latin typeface="Calibri"/>
              <a:ea typeface="Calibri"/>
              <a:cs typeface="Calibri"/>
              <a:sym typeface="Calibri"/>
            </a:rPr>
            <a:t>Opción A – Soportado listo para utilizarse</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Seleccione esta opción si la funcionalidad ya existe y se entrega operativa sin requerir ajustes.</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No se requiere información adicional.</a:t>
          </a:r>
          <a:endParaRPr sz="1400"/>
        </a:p>
        <a:p>
          <a:pPr indent="0" lvl="0" marL="0" rtl="0" algn="l">
            <a:spcBef>
              <a:spcPts val="0"/>
            </a:spcBef>
            <a:spcAft>
              <a:spcPts val="0"/>
            </a:spcAft>
            <a:buNone/>
          </a:pPr>
          <a:r>
            <a:t/>
          </a:r>
          <a:endParaRPr b="0" i="0" sz="1200">
            <a:solidFill>
              <a:schemeClr val="dk1"/>
            </a:solidFill>
            <a:latin typeface="Calibri"/>
            <a:ea typeface="Calibri"/>
            <a:cs typeface="Calibri"/>
            <a:sym typeface="Calibri"/>
          </a:endParaRPr>
        </a:p>
        <a:p>
          <a:pPr indent="0" lvl="0" marL="0" rtl="0" algn="l">
            <a:spcBef>
              <a:spcPts val="0"/>
            </a:spcBef>
            <a:spcAft>
              <a:spcPts val="0"/>
            </a:spcAft>
            <a:buNone/>
          </a:pPr>
          <a:r>
            <a:rPr b="1" i="0" lang="en-US" sz="1200">
              <a:solidFill>
                <a:srgbClr val="FF0000"/>
              </a:solidFill>
              <a:latin typeface="Calibri"/>
              <a:ea typeface="Calibri"/>
              <a:cs typeface="Calibri"/>
              <a:sym typeface="Calibri"/>
            </a:rPr>
            <a:t>Opción B – Soportado mediante desarrollo sin costo</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Si la funcionalidad requiere desarrollo pero </a:t>
          </a:r>
          <a:r>
            <a:rPr b="1" i="0" lang="en-US" sz="1200">
              <a:solidFill>
                <a:schemeClr val="dk1"/>
              </a:solidFill>
              <a:latin typeface="Calibri"/>
              <a:ea typeface="Calibri"/>
              <a:cs typeface="Calibri"/>
              <a:sym typeface="Calibri"/>
            </a:rPr>
            <a:t>no genera costo adicional</a:t>
          </a:r>
          <a:r>
            <a:rPr b="0" i="0" lang="en-US" sz="1200">
              <a:solidFill>
                <a:schemeClr val="dk1"/>
              </a:solidFill>
              <a:latin typeface="Calibri"/>
              <a:ea typeface="Calibri"/>
              <a:cs typeface="Calibri"/>
              <a:sym typeface="Calibri"/>
            </a:rPr>
            <a:t>, el proveedor debe:</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Marcar la opción </a:t>
          </a:r>
          <a:r>
            <a:rPr b="1" i="0" lang="en-US" sz="1200">
              <a:solidFill>
                <a:schemeClr val="dk1"/>
              </a:solidFill>
              <a:latin typeface="Calibri"/>
              <a:ea typeface="Calibri"/>
              <a:cs typeface="Calibri"/>
              <a:sym typeface="Calibri"/>
            </a:rPr>
            <a:t>B</a:t>
          </a:r>
          <a:r>
            <a:rPr b="0" i="0" lang="en-US" sz="1200">
              <a:solidFill>
                <a:schemeClr val="dk1"/>
              </a:solidFill>
              <a:latin typeface="Calibri"/>
              <a:ea typeface="Calibri"/>
              <a:cs typeface="Calibri"/>
              <a:sym typeface="Calibri"/>
            </a:rPr>
            <a:t>.</a:t>
          </a:r>
          <a:endParaRPr sz="1400"/>
        </a:p>
        <a:p>
          <a:pPr indent="0" lvl="0" marL="0" rtl="0" algn="l">
            <a:spcBef>
              <a:spcPts val="0"/>
            </a:spcBef>
            <a:spcAft>
              <a:spcPts val="0"/>
            </a:spcAft>
            <a:buNone/>
          </a:pPr>
          <a:r>
            <a:rPr b="1" i="0" lang="en-US" sz="1200">
              <a:solidFill>
                <a:schemeClr val="dk1"/>
              </a:solidFill>
              <a:latin typeface="Calibri"/>
              <a:ea typeface="Calibri"/>
              <a:cs typeface="Calibri"/>
              <a:sym typeface="Calibri"/>
            </a:rPr>
            <a:t>Especificar el tiempo estimado de desarrollo</a:t>
          </a:r>
          <a:r>
            <a:rPr b="0" i="0" lang="en-US" sz="1200">
              <a:solidFill>
                <a:schemeClr val="dk1"/>
              </a:solidFill>
              <a:latin typeface="Calibri"/>
              <a:ea typeface="Calibri"/>
              <a:cs typeface="Calibri"/>
              <a:sym typeface="Calibri"/>
            </a:rPr>
            <a:t> en horas.</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Nota: Este tiempo deberá ser coherente con el alcance técnico presentado.</a:t>
          </a:r>
          <a:endParaRPr sz="1400"/>
        </a:p>
        <a:p>
          <a:pPr indent="0" lvl="0" marL="0" rtl="0" algn="l">
            <a:spcBef>
              <a:spcPts val="0"/>
            </a:spcBef>
            <a:spcAft>
              <a:spcPts val="0"/>
            </a:spcAft>
            <a:buNone/>
          </a:pPr>
          <a:r>
            <a:t/>
          </a:r>
          <a:endParaRPr b="0" i="0" sz="1200">
            <a:solidFill>
              <a:schemeClr val="dk1"/>
            </a:solidFill>
            <a:latin typeface="Calibri"/>
            <a:ea typeface="Calibri"/>
            <a:cs typeface="Calibri"/>
            <a:sym typeface="Calibri"/>
          </a:endParaRPr>
        </a:p>
        <a:p>
          <a:pPr indent="0" lvl="0" marL="0" rtl="0" algn="l">
            <a:spcBef>
              <a:spcPts val="0"/>
            </a:spcBef>
            <a:spcAft>
              <a:spcPts val="0"/>
            </a:spcAft>
            <a:buNone/>
          </a:pPr>
          <a:r>
            <a:rPr b="1" i="0" lang="en-US" sz="1200">
              <a:solidFill>
                <a:srgbClr val="FF0000"/>
              </a:solidFill>
              <a:latin typeface="Calibri"/>
              <a:ea typeface="Calibri"/>
              <a:cs typeface="Calibri"/>
              <a:sym typeface="Calibri"/>
            </a:rPr>
            <a:t>Opción C – Soportado mediante desarrollo con costo adicional</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Si la funcionalidad requiere desarrollo y </a:t>
          </a:r>
          <a:r>
            <a:rPr b="1" i="0" lang="en-US" sz="1200">
              <a:solidFill>
                <a:schemeClr val="dk1"/>
              </a:solidFill>
              <a:latin typeface="Calibri"/>
              <a:ea typeface="Calibri"/>
              <a:cs typeface="Calibri"/>
              <a:sym typeface="Calibri"/>
            </a:rPr>
            <a:t>sí genera costo adicional</a:t>
          </a:r>
          <a:r>
            <a:rPr b="0" i="0" lang="en-US" sz="1200">
              <a:solidFill>
                <a:schemeClr val="dk1"/>
              </a:solidFill>
              <a:latin typeface="Calibri"/>
              <a:ea typeface="Calibri"/>
              <a:cs typeface="Calibri"/>
              <a:sym typeface="Calibri"/>
            </a:rPr>
            <a:t>, el proveedor debe:</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Marcar la opción </a:t>
          </a:r>
          <a:r>
            <a:rPr b="1" i="0" lang="en-US" sz="1200">
              <a:solidFill>
                <a:schemeClr val="dk1"/>
              </a:solidFill>
              <a:latin typeface="Calibri"/>
              <a:ea typeface="Calibri"/>
              <a:cs typeface="Calibri"/>
              <a:sym typeface="Calibri"/>
            </a:rPr>
            <a:t>C</a:t>
          </a:r>
          <a:r>
            <a:rPr b="0" i="0" lang="en-US" sz="1200">
              <a:solidFill>
                <a:schemeClr val="dk1"/>
              </a:solidFill>
              <a:latin typeface="Calibri"/>
              <a:ea typeface="Calibri"/>
              <a:cs typeface="Calibri"/>
              <a:sym typeface="Calibri"/>
            </a:rPr>
            <a:t>.</a:t>
          </a:r>
          <a:endParaRPr sz="1400"/>
        </a:p>
        <a:p>
          <a:pPr indent="0" lvl="0" marL="0" rtl="0" algn="l">
            <a:spcBef>
              <a:spcPts val="0"/>
            </a:spcBef>
            <a:spcAft>
              <a:spcPts val="0"/>
            </a:spcAft>
            <a:buNone/>
          </a:pPr>
          <a:r>
            <a:rPr b="1" i="0" lang="en-US" sz="1200">
              <a:solidFill>
                <a:schemeClr val="dk1"/>
              </a:solidFill>
              <a:latin typeface="Calibri"/>
              <a:ea typeface="Calibri"/>
              <a:cs typeface="Calibri"/>
              <a:sym typeface="Calibri"/>
            </a:rPr>
            <a:t>Indicar el tiempo estimado de desarrollo</a:t>
          </a:r>
          <a:r>
            <a:rPr b="0" i="0" lang="en-US" sz="1200">
              <a:solidFill>
                <a:schemeClr val="dk1"/>
              </a:solidFill>
              <a:latin typeface="Calibri"/>
              <a:ea typeface="Calibri"/>
              <a:cs typeface="Calibri"/>
              <a:sym typeface="Calibri"/>
            </a:rPr>
            <a:t> en horas.</a:t>
          </a:r>
          <a:endParaRPr sz="1400"/>
        </a:p>
        <a:p>
          <a:pPr indent="0" lvl="0" marL="0" rtl="0" algn="l">
            <a:spcBef>
              <a:spcPts val="0"/>
            </a:spcBef>
            <a:spcAft>
              <a:spcPts val="0"/>
            </a:spcAft>
            <a:buNone/>
          </a:pPr>
          <a:r>
            <a:rPr b="1" i="0" lang="en-US" sz="1200">
              <a:solidFill>
                <a:schemeClr val="dk1"/>
              </a:solidFill>
              <a:latin typeface="Calibri"/>
              <a:ea typeface="Calibri"/>
              <a:cs typeface="Calibri"/>
              <a:sym typeface="Calibri"/>
            </a:rPr>
            <a:t>Incluir el costo aproximado</a:t>
          </a:r>
          <a:r>
            <a:rPr b="0" i="0" lang="en-US" sz="1200">
              <a:solidFill>
                <a:schemeClr val="dk1"/>
              </a:solidFill>
              <a:latin typeface="Calibri"/>
              <a:ea typeface="Calibri"/>
              <a:cs typeface="Calibri"/>
              <a:sym typeface="Calibri"/>
            </a:rPr>
            <a:t> en pesos (COP) por dicho desarrollo.</a:t>
          </a:r>
          <a:br>
            <a:rPr b="0" i="0" lang="en-US" sz="1200">
              <a:solidFill>
                <a:schemeClr val="dk1"/>
              </a:solidFill>
              <a:latin typeface="Calibri"/>
              <a:ea typeface="Calibri"/>
              <a:cs typeface="Calibri"/>
              <a:sym typeface="Calibri"/>
            </a:rPr>
          </a:br>
          <a:r>
            <a:rPr b="0" i="0" lang="en-US" sz="1200">
              <a:solidFill>
                <a:schemeClr val="dk1"/>
              </a:solidFill>
              <a:latin typeface="Calibri"/>
              <a:ea typeface="Calibri"/>
              <a:cs typeface="Calibri"/>
              <a:sym typeface="Calibri"/>
            </a:rPr>
            <a:t>Este valor deberá estar también considerado en la </a:t>
          </a:r>
          <a:r>
            <a:rPr b="1" i="0" lang="en-US" sz="1200">
              <a:solidFill>
                <a:schemeClr val="dk1"/>
              </a:solidFill>
              <a:latin typeface="Calibri"/>
              <a:ea typeface="Calibri"/>
              <a:cs typeface="Calibri"/>
              <a:sym typeface="Calibri"/>
            </a:rPr>
            <a:t>propuesta económica</a:t>
          </a:r>
          <a:r>
            <a:rPr b="0" i="0" lang="en-US" sz="1200">
              <a:solidFill>
                <a:schemeClr val="dk1"/>
              </a:solidFill>
              <a:latin typeface="Calibri"/>
              <a:ea typeface="Calibri"/>
              <a:cs typeface="Calibri"/>
              <a:sym typeface="Calibri"/>
            </a:rPr>
            <a:t> oficial.</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Importante: La ausencia del estimado de horas o del costo en esta opción será considerada como información incompleta.</a:t>
          </a:r>
          <a:endParaRPr sz="1400"/>
        </a:p>
        <a:p>
          <a:pPr indent="0" lvl="0" marL="0" rtl="0" algn="l">
            <a:spcBef>
              <a:spcPts val="0"/>
            </a:spcBef>
            <a:spcAft>
              <a:spcPts val="0"/>
            </a:spcAft>
            <a:buNone/>
          </a:pPr>
          <a:r>
            <a:t/>
          </a:r>
          <a:endParaRPr b="0" i="0" sz="1200">
            <a:solidFill>
              <a:schemeClr val="dk1"/>
            </a:solidFill>
            <a:latin typeface="Calibri"/>
            <a:ea typeface="Calibri"/>
            <a:cs typeface="Calibri"/>
            <a:sym typeface="Calibri"/>
          </a:endParaRPr>
        </a:p>
        <a:p>
          <a:pPr indent="0" lvl="0" marL="0" rtl="0" algn="l">
            <a:spcBef>
              <a:spcPts val="0"/>
            </a:spcBef>
            <a:spcAft>
              <a:spcPts val="0"/>
            </a:spcAft>
            <a:buNone/>
          </a:pPr>
          <a:r>
            <a:rPr b="1" i="0" lang="en-US" sz="1200">
              <a:solidFill>
                <a:srgbClr val="FF0000"/>
              </a:solidFill>
              <a:latin typeface="Calibri"/>
              <a:ea typeface="Calibri"/>
              <a:cs typeface="Calibri"/>
              <a:sym typeface="Calibri"/>
            </a:rPr>
            <a:t>Opción NS – No soportado</a:t>
          </a:r>
          <a:endParaRPr sz="1400"/>
        </a:p>
        <a:p>
          <a:pPr indent="0" lvl="0" marL="0" rtl="0" algn="l">
            <a:spcBef>
              <a:spcPts val="0"/>
            </a:spcBef>
            <a:spcAft>
              <a:spcPts val="0"/>
            </a:spcAft>
            <a:buNone/>
          </a:pPr>
          <a:r>
            <a:rPr b="0" i="0" lang="en-US" sz="1200">
              <a:solidFill>
                <a:schemeClr val="dk1"/>
              </a:solidFill>
              <a:latin typeface="Calibri"/>
              <a:ea typeface="Calibri"/>
              <a:cs typeface="Calibri"/>
              <a:sym typeface="Calibri"/>
            </a:rPr>
            <a:t>Seleccione esta opción si la funcionalidad </a:t>
          </a:r>
          <a:r>
            <a:rPr b="1" i="0" lang="en-US" sz="1200">
              <a:solidFill>
                <a:schemeClr val="dk1"/>
              </a:solidFill>
              <a:latin typeface="Calibri"/>
              <a:ea typeface="Calibri"/>
              <a:cs typeface="Calibri"/>
              <a:sym typeface="Calibri"/>
            </a:rPr>
            <a:t>no es ofrecida</a:t>
          </a:r>
          <a:r>
            <a:rPr b="0" i="0" lang="en-US" sz="1200">
              <a:solidFill>
                <a:schemeClr val="dk1"/>
              </a:solidFill>
              <a:latin typeface="Calibri"/>
              <a:ea typeface="Calibri"/>
              <a:cs typeface="Calibri"/>
              <a:sym typeface="Calibri"/>
            </a:rPr>
            <a:t>, ni existente, ni desarrollable por el proveedor.</a:t>
          </a:r>
          <a:endParaRPr sz="1400"/>
        </a:p>
        <a:p>
          <a:pPr indent="0" lvl="0" marL="0" rtl="0" algn="l">
            <a:spcBef>
              <a:spcPts val="0"/>
            </a:spcBef>
            <a:spcAft>
              <a:spcPts val="0"/>
            </a:spcAft>
            <a:buNone/>
          </a:pPr>
          <a:r>
            <a:t/>
          </a:r>
          <a:endParaRPr b="0" i="0" sz="1100">
            <a:solidFill>
              <a:schemeClr val="dk1"/>
            </a:solidFill>
            <a:latin typeface="Calibri"/>
            <a:ea typeface="Calibri"/>
            <a:cs typeface="Calibri"/>
            <a:sym typeface="Calibri"/>
          </a:endParaRPr>
        </a:p>
        <a:p>
          <a:pPr indent="0" lvl="0" marL="0" rtl="0" algn="l">
            <a:spcBef>
              <a:spcPts val="0"/>
            </a:spcBef>
            <a:spcAft>
              <a:spcPts val="0"/>
            </a:spcAft>
            <a:buNone/>
          </a:pPr>
          <a:r>
            <a:t/>
          </a:r>
          <a:endParaRPr b="0" i="0" sz="1100">
            <a:solidFill>
              <a:schemeClr val="dk1"/>
            </a:solidFill>
            <a:latin typeface="Calibri"/>
            <a:ea typeface="Calibri"/>
            <a:cs typeface="Calibri"/>
            <a:sym typeface="Calibri"/>
          </a:endParaRPr>
        </a:p>
        <a:p>
          <a:pPr indent="0" lvl="0" marL="0" rtl="0" algn="l">
            <a:spcBef>
              <a:spcPts val="0"/>
            </a:spcBef>
            <a:spcAft>
              <a:spcPts val="0"/>
            </a:spcAft>
            <a:buNone/>
          </a:pPr>
          <a:r>
            <a:t/>
          </a:r>
          <a:endParaRPr b="0" i="0" sz="1200">
            <a:solidFill>
              <a:schemeClr val="dk1"/>
            </a:solidFill>
            <a:latin typeface="Arial"/>
            <a:ea typeface="Arial"/>
            <a:cs typeface="Arial"/>
            <a:sym typeface="Arial"/>
          </a:endParaRPr>
        </a:p>
      </xdr:txBody>
    </xdr:sp>
    <xdr:clientData fLocksWithSheet="0"/>
  </xdr:oneCellAnchor>
  <xdr:oneCellAnchor>
    <xdr:from>
      <xdr:col>3</xdr:col>
      <xdr:colOff>676275</xdr:colOff>
      <xdr:row>143</xdr:row>
      <xdr:rowOff>419100</xdr:rowOff>
    </xdr:from>
    <xdr:ext cx="1876425" cy="17335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ccbpos.sharepoint.com/sites/pwa/Actualizaci&#243;n%20aplicaci&#243;n%20Ruta%20(Movilidad)/Documentos%20compartidos/1.Formulaci&#243;n_proyecto/2.Caso%20de%20negocio/9.Negociaci&#243;n/3.RFP/1.Anexos/form_evalu_act_ruta.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triz ponderación"/>
      <sheetName val="NECESIDADES FUNCIONALES"/>
      <sheetName val="NECESIDADES FUNCIONALES WM"/>
      <sheetName val="Sustentación modelo_WM"/>
      <sheetName val="R. mínimos_WM"/>
      <sheetName val="Propuesta económica_WM"/>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hidden="1" min="1" max="1" width="68.71"/>
    <col customWidth="1" min="2" max="2" width="37.43"/>
    <col customWidth="1" min="3" max="3" width="119.14"/>
    <col customWidth="1" min="4" max="4" width="95.57"/>
    <col customWidth="1" hidden="1" min="5" max="5" width="50.29"/>
    <col customWidth="1" min="6" max="6" width="33.71"/>
    <col customWidth="1" min="7" max="7" width="21.71"/>
    <col customWidth="1" min="8" max="9" width="35.57"/>
    <col customWidth="1" min="10" max="10" width="21.71"/>
    <col customWidth="1" hidden="1" min="11" max="11" width="23.86"/>
    <col customWidth="1" min="12" max="26" width="94.43"/>
  </cols>
  <sheetData>
    <row r="1" hidden="1">
      <c r="A1" s="1"/>
      <c r="B1" s="1"/>
      <c r="C1" s="2"/>
      <c r="D1" s="3"/>
      <c r="E1" s="3"/>
      <c r="F1" s="1"/>
      <c r="G1" s="1"/>
      <c r="H1" s="1"/>
      <c r="I1" s="1"/>
      <c r="J1" s="1"/>
      <c r="K1" s="1"/>
      <c r="L1" s="1"/>
      <c r="M1" s="1"/>
      <c r="N1" s="1"/>
      <c r="O1" s="1"/>
      <c r="P1" s="1"/>
      <c r="Q1" s="1"/>
      <c r="R1" s="1"/>
      <c r="S1" s="1"/>
      <c r="T1" s="1"/>
      <c r="U1" s="1"/>
      <c r="V1" s="1"/>
      <c r="W1" s="1"/>
      <c r="X1" s="1"/>
      <c r="Y1" s="1"/>
      <c r="Z1" s="1"/>
    </row>
    <row r="2" hidden="1">
      <c r="A2" s="1"/>
      <c r="B2" s="1"/>
      <c r="C2" s="2"/>
      <c r="D2" s="3"/>
      <c r="E2" s="3"/>
      <c r="F2" s="1"/>
      <c r="G2" s="1"/>
      <c r="H2" s="1"/>
      <c r="I2" s="1"/>
      <c r="J2" s="1"/>
      <c r="K2" s="1"/>
      <c r="L2" s="1"/>
      <c r="M2" s="1"/>
      <c r="N2" s="1"/>
      <c r="O2" s="1"/>
      <c r="P2" s="1"/>
      <c r="Q2" s="1"/>
      <c r="R2" s="1"/>
      <c r="S2" s="1"/>
      <c r="T2" s="1"/>
      <c r="U2" s="1"/>
      <c r="V2" s="1"/>
      <c r="W2" s="1"/>
      <c r="X2" s="1"/>
      <c r="Y2" s="1"/>
      <c r="Z2" s="1"/>
    </row>
    <row r="3" hidden="1">
      <c r="A3" s="1"/>
      <c r="B3" s="1"/>
      <c r="C3" s="2"/>
      <c r="D3" s="3"/>
      <c r="E3" s="3"/>
      <c r="F3" s="1"/>
      <c r="G3" s="1"/>
      <c r="H3" s="1"/>
      <c r="I3" s="1"/>
      <c r="J3" s="1"/>
      <c r="K3" s="1"/>
      <c r="L3" s="1"/>
      <c r="M3" s="1"/>
      <c r="N3" s="1"/>
      <c r="O3" s="1"/>
      <c r="P3" s="1"/>
      <c r="Q3" s="1"/>
      <c r="R3" s="1"/>
      <c r="S3" s="1"/>
      <c r="T3" s="1"/>
      <c r="U3" s="1"/>
      <c r="V3" s="1"/>
      <c r="W3" s="1"/>
      <c r="X3" s="1"/>
      <c r="Y3" s="1"/>
      <c r="Z3" s="1"/>
    </row>
    <row r="4" hidden="1">
      <c r="A4" s="1"/>
      <c r="B4" s="1"/>
      <c r="C4" s="2"/>
      <c r="D4" s="3"/>
      <c r="E4" s="3"/>
      <c r="F4" s="1"/>
      <c r="G4" s="1"/>
      <c r="H4" s="1"/>
      <c r="I4" s="1"/>
      <c r="J4" s="1"/>
      <c r="K4" s="1"/>
      <c r="L4" s="1"/>
      <c r="M4" s="1"/>
      <c r="N4" s="1"/>
      <c r="O4" s="1"/>
      <c r="P4" s="1"/>
      <c r="Q4" s="1"/>
      <c r="R4" s="1"/>
      <c r="S4" s="1"/>
      <c r="T4" s="1"/>
      <c r="U4" s="1"/>
      <c r="V4" s="1"/>
      <c r="W4" s="1"/>
      <c r="X4" s="1"/>
      <c r="Y4" s="1"/>
      <c r="Z4" s="1"/>
    </row>
    <row r="5" hidden="1">
      <c r="A5" s="1"/>
      <c r="B5" s="1"/>
      <c r="C5" s="2"/>
      <c r="D5" s="3"/>
      <c r="E5" s="3"/>
      <c r="F5" s="1"/>
      <c r="G5" s="1"/>
      <c r="H5" s="1"/>
      <c r="I5" s="1"/>
      <c r="J5" s="1"/>
      <c r="K5" s="1"/>
      <c r="L5" s="1"/>
      <c r="M5" s="1"/>
      <c r="N5" s="1"/>
      <c r="O5" s="1"/>
      <c r="P5" s="1"/>
      <c r="Q5" s="1"/>
      <c r="R5" s="1"/>
      <c r="S5" s="1"/>
      <c r="T5" s="1"/>
      <c r="U5" s="1"/>
      <c r="V5" s="1"/>
      <c r="W5" s="1"/>
      <c r="X5" s="1"/>
      <c r="Y5" s="1"/>
      <c r="Z5" s="1"/>
    </row>
    <row r="6" hidden="1">
      <c r="A6" s="1"/>
      <c r="B6" s="1"/>
      <c r="C6" s="2"/>
      <c r="D6" s="3"/>
      <c r="E6" s="3"/>
      <c r="F6" s="1"/>
      <c r="G6" s="1"/>
      <c r="H6" s="1"/>
      <c r="I6" s="1"/>
      <c r="J6" s="1"/>
      <c r="K6" s="1"/>
      <c r="L6" s="1"/>
      <c r="M6" s="1"/>
      <c r="N6" s="1"/>
      <c r="O6" s="1"/>
      <c r="P6" s="1"/>
      <c r="Q6" s="1"/>
      <c r="R6" s="1"/>
      <c r="S6" s="1"/>
      <c r="T6" s="1"/>
      <c r="U6" s="1"/>
      <c r="V6" s="1"/>
      <c r="W6" s="1"/>
      <c r="X6" s="1"/>
      <c r="Y6" s="1"/>
      <c r="Z6" s="1"/>
    </row>
    <row r="7" hidden="1">
      <c r="A7" s="1"/>
      <c r="B7" s="1"/>
      <c r="C7" s="2"/>
      <c r="D7" s="3"/>
      <c r="E7" s="3"/>
      <c r="F7" s="1"/>
      <c r="G7" s="1"/>
      <c r="H7" s="1"/>
      <c r="I7" s="1"/>
      <c r="J7" s="1"/>
      <c r="K7" s="1"/>
      <c r="L7" s="1"/>
      <c r="M7" s="1"/>
      <c r="N7" s="1"/>
      <c r="O7" s="1"/>
      <c r="P7" s="1"/>
      <c r="Q7" s="1"/>
      <c r="R7" s="1"/>
      <c r="S7" s="1"/>
      <c r="T7" s="1"/>
      <c r="U7" s="1"/>
      <c r="V7" s="1"/>
      <c r="W7" s="1"/>
      <c r="X7" s="1"/>
      <c r="Y7" s="1"/>
      <c r="Z7" s="1"/>
    </row>
    <row r="8" hidden="1">
      <c r="A8" s="1"/>
      <c r="B8" s="1"/>
      <c r="C8" s="2"/>
      <c r="D8" s="3"/>
      <c r="E8" s="3"/>
      <c r="F8" s="1"/>
      <c r="G8" s="1"/>
      <c r="H8" s="1"/>
      <c r="I8" s="1"/>
      <c r="J8" s="1"/>
      <c r="K8" s="1"/>
      <c r="L8" s="1"/>
      <c r="M8" s="1"/>
      <c r="N8" s="1"/>
      <c r="O8" s="1"/>
      <c r="P8" s="1"/>
      <c r="Q8" s="1"/>
      <c r="R8" s="1"/>
      <c r="S8" s="1"/>
      <c r="T8" s="1"/>
      <c r="U8" s="1"/>
      <c r="V8" s="1"/>
      <c r="W8" s="1"/>
      <c r="X8" s="1"/>
      <c r="Y8" s="1"/>
      <c r="Z8" s="1"/>
    </row>
    <row r="9" hidden="1">
      <c r="A9" s="1"/>
      <c r="B9" s="1"/>
      <c r="C9" s="2"/>
      <c r="D9" s="3"/>
      <c r="E9" s="3"/>
      <c r="F9" s="1"/>
      <c r="G9" s="1"/>
      <c r="H9" s="1"/>
      <c r="I9" s="1"/>
      <c r="J9" s="1"/>
      <c r="K9" s="1"/>
      <c r="L9" s="1"/>
      <c r="M9" s="1"/>
      <c r="N9" s="1"/>
      <c r="O9" s="1"/>
      <c r="P9" s="1"/>
      <c r="Q9" s="1"/>
      <c r="R9" s="1"/>
      <c r="S9" s="1"/>
      <c r="T9" s="1"/>
      <c r="U9" s="1"/>
      <c r="V9" s="1"/>
      <c r="W9" s="1"/>
      <c r="X9" s="1"/>
      <c r="Y9" s="1"/>
      <c r="Z9" s="1"/>
    </row>
    <row r="10" hidden="1">
      <c r="A10" s="1"/>
      <c r="B10" s="1"/>
      <c r="C10" s="2"/>
      <c r="D10" s="3"/>
      <c r="E10" s="3"/>
      <c r="F10" s="1"/>
      <c r="G10" s="1"/>
      <c r="H10" s="1"/>
      <c r="I10" s="1"/>
      <c r="J10" s="1"/>
      <c r="K10" s="1"/>
      <c r="L10" s="1"/>
      <c r="M10" s="1"/>
      <c r="N10" s="1"/>
      <c r="O10" s="1"/>
      <c r="P10" s="1"/>
      <c r="Q10" s="1"/>
      <c r="R10" s="1"/>
      <c r="S10" s="1"/>
      <c r="T10" s="1"/>
      <c r="U10" s="1"/>
      <c r="V10" s="1"/>
      <c r="W10" s="1"/>
      <c r="X10" s="1"/>
      <c r="Y10" s="1"/>
      <c r="Z10" s="1"/>
    </row>
    <row r="11" hidden="1">
      <c r="A11" s="1"/>
      <c r="B11" s="1"/>
      <c r="C11" s="2"/>
      <c r="D11" s="3"/>
      <c r="E11" s="3"/>
      <c r="F11" s="1"/>
      <c r="G11" s="1"/>
      <c r="H11" s="1"/>
      <c r="I11" s="1"/>
      <c r="J11" s="1"/>
      <c r="K11" s="1"/>
      <c r="L11" s="1"/>
      <c r="M11" s="1"/>
      <c r="N11" s="1"/>
      <c r="O11" s="1"/>
      <c r="P11" s="1"/>
      <c r="Q11" s="1"/>
      <c r="R11" s="1"/>
      <c r="S11" s="1"/>
      <c r="T11" s="1"/>
      <c r="U11" s="1"/>
      <c r="V11" s="1"/>
      <c r="W11" s="1"/>
      <c r="X11" s="1"/>
      <c r="Y11" s="1"/>
      <c r="Z11" s="1"/>
    </row>
    <row r="12" hidden="1">
      <c r="A12" s="1"/>
      <c r="B12" s="1"/>
      <c r="C12" s="2"/>
      <c r="D12" s="3"/>
      <c r="E12" s="3"/>
      <c r="F12" s="1"/>
      <c r="G12" s="1"/>
      <c r="H12" s="1"/>
      <c r="I12" s="1"/>
      <c r="J12" s="1"/>
      <c r="K12" s="1"/>
      <c r="L12" s="1"/>
      <c r="M12" s="1"/>
      <c r="N12" s="1"/>
      <c r="O12" s="1"/>
      <c r="P12" s="1"/>
      <c r="Q12" s="1"/>
      <c r="R12" s="1"/>
      <c r="S12" s="1"/>
      <c r="T12" s="1"/>
      <c r="U12" s="1"/>
      <c r="V12" s="1"/>
      <c r="W12" s="1"/>
      <c r="X12" s="1"/>
      <c r="Y12" s="1"/>
      <c r="Z12" s="1"/>
    </row>
    <row r="13" hidden="1">
      <c r="A13" s="1"/>
      <c r="B13" s="1"/>
      <c r="C13" s="2"/>
      <c r="D13" s="3"/>
      <c r="E13" s="3"/>
      <c r="F13" s="1"/>
      <c r="G13" s="1"/>
      <c r="H13" s="1"/>
      <c r="I13" s="1"/>
      <c r="J13" s="1"/>
      <c r="K13" s="1"/>
      <c r="L13" s="1"/>
      <c r="M13" s="1"/>
      <c r="N13" s="1"/>
      <c r="O13" s="1"/>
      <c r="P13" s="1"/>
      <c r="Q13" s="1"/>
      <c r="R13" s="1"/>
      <c r="S13" s="1"/>
      <c r="T13" s="1"/>
      <c r="U13" s="1"/>
      <c r="V13" s="1"/>
      <c r="W13" s="1"/>
      <c r="X13" s="1"/>
      <c r="Y13" s="1"/>
      <c r="Z13" s="1"/>
    </row>
    <row r="14" hidden="1">
      <c r="A14" s="1"/>
      <c r="B14" s="1"/>
      <c r="C14" s="2"/>
      <c r="D14" s="3"/>
      <c r="E14" s="3"/>
      <c r="F14" s="1"/>
      <c r="G14" s="1"/>
      <c r="H14" s="1"/>
      <c r="I14" s="1"/>
      <c r="J14" s="1"/>
      <c r="K14" s="1"/>
      <c r="L14" s="1"/>
      <c r="M14" s="1"/>
      <c r="N14" s="1"/>
      <c r="O14" s="1"/>
      <c r="P14" s="1"/>
      <c r="Q14" s="1"/>
      <c r="R14" s="1"/>
      <c r="S14" s="1"/>
      <c r="T14" s="1"/>
      <c r="U14" s="1"/>
      <c r="V14" s="1"/>
      <c r="W14" s="1"/>
      <c r="X14" s="1"/>
      <c r="Y14" s="1"/>
      <c r="Z14" s="1"/>
    </row>
    <row r="15" hidden="1">
      <c r="A15" s="1"/>
      <c r="B15" s="1"/>
      <c r="C15" s="2"/>
      <c r="D15" s="3"/>
      <c r="E15" s="3"/>
      <c r="F15" s="1"/>
      <c r="G15" s="1"/>
      <c r="H15" s="1"/>
      <c r="I15" s="1"/>
      <c r="J15" s="1"/>
      <c r="K15" s="1"/>
      <c r="L15" s="1"/>
      <c r="M15" s="1"/>
      <c r="N15" s="1"/>
      <c r="O15" s="1"/>
      <c r="P15" s="1"/>
      <c r="Q15" s="1"/>
      <c r="R15" s="1"/>
      <c r="S15" s="1"/>
      <c r="T15" s="1"/>
      <c r="U15" s="1"/>
      <c r="V15" s="1"/>
      <c r="W15" s="1"/>
      <c r="X15" s="1"/>
      <c r="Y15" s="1"/>
      <c r="Z15" s="1"/>
    </row>
    <row r="16" hidden="1">
      <c r="A16" s="1"/>
      <c r="B16" s="1"/>
      <c r="C16" s="2"/>
      <c r="D16" s="3"/>
      <c r="E16" s="3"/>
      <c r="F16" s="1"/>
      <c r="G16" s="1"/>
      <c r="H16" s="1"/>
      <c r="I16" s="1"/>
      <c r="J16" s="1"/>
      <c r="K16" s="1"/>
      <c r="L16" s="1"/>
      <c r="M16" s="1"/>
      <c r="N16" s="1"/>
      <c r="O16" s="1"/>
      <c r="P16" s="1"/>
      <c r="Q16" s="1"/>
      <c r="R16" s="1"/>
      <c r="S16" s="1"/>
      <c r="T16" s="1"/>
      <c r="U16" s="1"/>
      <c r="V16" s="1"/>
      <c r="W16" s="1"/>
      <c r="X16" s="1"/>
      <c r="Y16" s="1"/>
      <c r="Z16" s="1"/>
    </row>
    <row r="17" hidden="1">
      <c r="A17" s="1"/>
      <c r="B17" s="1"/>
      <c r="C17" s="2"/>
      <c r="D17" s="3"/>
      <c r="E17" s="3"/>
      <c r="F17" s="1"/>
      <c r="G17" s="1"/>
      <c r="H17" s="1"/>
      <c r="I17" s="1"/>
      <c r="J17" s="1"/>
      <c r="K17" s="1"/>
      <c r="L17" s="1"/>
      <c r="M17" s="1"/>
      <c r="N17" s="1"/>
      <c r="O17" s="1"/>
      <c r="P17" s="1"/>
      <c r="Q17" s="1"/>
      <c r="R17" s="1"/>
      <c r="S17" s="1"/>
      <c r="T17" s="1"/>
      <c r="U17" s="1"/>
      <c r="V17" s="1"/>
      <c r="W17" s="1"/>
      <c r="X17" s="1"/>
      <c r="Y17" s="1"/>
      <c r="Z17" s="1"/>
    </row>
    <row r="18" hidden="1">
      <c r="A18" s="1"/>
      <c r="B18" s="1"/>
      <c r="C18" s="2"/>
      <c r="D18" s="3"/>
      <c r="E18" s="3"/>
      <c r="F18" s="1"/>
      <c r="G18" s="1"/>
      <c r="H18" s="1"/>
      <c r="I18" s="1"/>
      <c r="J18" s="1"/>
      <c r="K18" s="1"/>
      <c r="L18" s="1"/>
      <c r="M18" s="1"/>
      <c r="N18" s="1"/>
      <c r="O18" s="1"/>
      <c r="P18" s="1"/>
      <c r="Q18" s="1"/>
      <c r="R18" s="1"/>
      <c r="S18" s="1"/>
      <c r="T18" s="1"/>
      <c r="U18" s="1"/>
      <c r="V18" s="1"/>
      <c r="W18" s="1"/>
      <c r="X18" s="1"/>
      <c r="Y18" s="1"/>
      <c r="Z18" s="1"/>
    </row>
    <row r="19" hidden="1">
      <c r="A19" s="1"/>
      <c r="B19" s="1"/>
      <c r="C19" s="2"/>
      <c r="D19" s="3"/>
      <c r="E19" s="3"/>
      <c r="F19" s="1"/>
      <c r="G19" s="1"/>
      <c r="H19" s="1"/>
      <c r="I19" s="1"/>
      <c r="J19" s="1"/>
      <c r="K19" s="1"/>
      <c r="L19" s="1"/>
      <c r="M19" s="1"/>
      <c r="N19" s="1"/>
      <c r="O19" s="1"/>
      <c r="P19" s="1"/>
      <c r="Q19" s="1"/>
      <c r="R19" s="1"/>
      <c r="S19" s="1"/>
      <c r="T19" s="1"/>
      <c r="U19" s="1"/>
      <c r="V19" s="1"/>
      <c r="W19" s="1"/>
      <c r="X19" s="1"/>
      <c r="Y19" s="1"/>
      <c r="Z19" s="1"/>
    </row>
    <row r="20" hidden="1">
      <c r="A20" s="1"/>
      <c r="B20" s="1"/>
      <c r="C20" s="2"/>
      <c r="D20" s="3"/>
      <c r="E20" s="3"/>
      <c r="F20" s="1"/>
      <c r="G20" s="1"/>
      <c r="H20" s="1"/>
      <c r="I20" s="1"/>
      <c r="J20" s="1"/>
      <c r="K20" s="1"/>
      <c r="L20" s="1"/>
      <c r="M20" s="1"/>
      <c r="N20" s="1"/>
      <c r="O20" s="1"/>
      <c r="P20" s="1"/>
      <c r="Q20" s="1"/>
      <c r="R20" s="1"/>
      <c r="S20" s="1"/>
      <c r="T20" s="1"/>
      <c r="U20" s="1"/>
      <c r="V20" s="1"/>
      <c r="W20" s="1"/>
      <c r="X20" s="1"/>
      <c r="Y20" s="1"/>
      <c r="Z20" s="1"/>
    </row>
    <row r="21" ht="15.75" hidden="1" customHeight="1">
      <c r="A21" s="1"/>
      <c r="B21" s="1"/>
      <c r="C21" s="2"/>
      <c r="D21" s="3"/>
      <c r="E21" s="3"/>
      <c r="F21" s="1"/>
      <c r="G21" s="1"/>
      <c r="H21" s="1"/>
      <c r="I21" s="1"/>
      <c r="J21" s="1"/>
      <c r="K21" s="1"/>
      <c r="L21" s="1"/>
      <c r="M21" s="1"/>
      <c r="N21" s="1"/>
      <c r="O21" s="1"/>
      <c r="P21" s="1"/>
      <c r="Q21" s="1"/>
      <c r="R21" s="1"/>
      <c r="S21" s="1"/>
      <c r="T21" s="1"/>
      <c r="U21" s="1"/>
      <c r="V21" s="1"/>
      <c r="W21" s="1"/>
      <c r="X21" s="1"/>
      <c r="Y21" s="1"/>
      <c r="Z21" s="1"/>
    </row>
    <row r="22" ht="15.75" hidden="1" customHeight="1">
      <c r="A22" s="1"/>
      <c r="B22" s="1"/>
      <c r="C22" s="2"/>
      <c r="D22" s="3"/>
      <c r="E22" s="3"/>
      <c r="F22" s="1"/>
      <c r="G22" s="1"/>
      <c r="H22" s="1"/>
      <c r="I22" s="1"/>
      <c r="J22" s="1"/>
      <c r="K22" s="1"/>
      <c r="L22" s="1"/>
      <c r="M22" s="1"/>
      <c r="N22" s="1"/>
      <c r="O22" s="1"/>
      <c r="P22" s="1"/>
      <c r="Q22" s="1"/>
      <c r="R22" s="1"/>
      <c r="S22" s="1"/>
      <c r="T22" s="1"/>
      <c r="U22" s="1"/>
      <c r="V22" s="1"/>
      <c r="W22" s="1"/>
      <c r="X22" s="1"/>
      <c r="Y22" s="1"/>
      <c r="Z22" s="1"/>
    </row>
    <row r="23" ht="15.75" hidden="1" customHeight="1">
      <c r="A23" s="1"/>
      <c r="B23" s="1"/>
      <c r="C23" s="2"/>
      <c r="D23" s="3"/>
      <c r="E23" s="3"/>
      <c r="F23" s="1"/>
      <c r="G23" s="1"/>
      <c r="H23" s="1"/>
      <c r="I23" s="1"/>
      <c r="J23" s="1"/>
      <c r="K23" s="1"/>
      <c r="L23" s="1"/>
      <c r="M23" s="1"/>
      <c r="N23" s="1"/>
      <c r="O23" s="1"/>
      <c r="P23" s="1"/>
      <c r="Q23" s="1"/>
      <c r="R23" s="1"/>
      <c r="S23" s="1"/>
      <c r="T23" s="1"/>
      <c r="U23" s="1"/>
      <c r="V23" s="1"/>
      <c r="W23" s="1"/>
      <c r="X23" s="1"/>
      <c r="Y23" s="1"/>
      <c r="Z23" s="1"/>
    </row>
    <row r="24" ht="15.75" hidden="1" customHeight="1">
      <c r="A24" s="1"/>
      <c r="B24" s="1"/>
      <c r="C24" s="2"/>
      <c r="D24" s="3"/>
      <c r="E24" s="3"/>
      <c r="F24" s="1"/>
      <c r="G24" s="1"/>
      <c r="H24" s="1"/>
      <c r="I24" s="1"/>
      <c r="J24" s="1"/>
      <c r="K24" s="1"/>
      <c r="L24" s="1"/>
      <c r="M24" s="1"/>
      <c r="N24" s="1"/>
      <c r="O24" s="1"/>
      <c r="P24" s="1"/>
      <c r="Q24" s="1"/>
      <c r="R24" s="1"/>
      <c r="S24" s="1"/>
      <c r="T24" s="1"/>
      <c r="U24" s="1"/>
      <c r="V24" s="1"/>
      <c r="W24" s="1"/>
      <c r="X24" s="1"/>
      <c r="Y24" s="1"/>
      <c r="Z24" s="1"/>
    </row>
    <row r="25" ht="15.75" hidden="1" customHeight="1">
      <c r="A25" s="1"/>
      <c r="B25" s="1"/>
      <c r="C25" s="2"/>
      <c r="D25" s="3"/>
      <c r="E25" s="3"/>
      <c r="F25" s="1"/>
      <c r="G25" s="1"/>
      <c r="H25" s="1"/>
      <c r="I25" s="1"/>
      <c r="J25" s="1"/>
      <c r="K25" s="1"/>
      <c r="L25" s="1"/>
      <c r="M25" s="1"/>
      <c r="N25" s="1"/>
      <c r="O25" s="1"/>
      <c r="P25" s="1"/>
      <c r="Q25" s="1"/>
      <c r="R25" s="1"/>
      <c r="S25" s="1"/>
      <c r="T25" s="1"/>
      <c r="U25" s="1"/>
      <c r="V25" s="1"/>
      <c r="W25" s="1"/>
      <c r="X25" s="1"/>
      <c r="Y25" s="1"/>
      <c r="Z25" s="1"/>
    </row>
    <row r="26" ht="15.75" hidden="1" customHeight="1">
      <c r="A26" s="1"/>
      <c r="B26" s="1"/>
      <c r="C26" s="2"/>
      <c r="D26" s="3"/>
      <c r="E26" s="3"/>
      <c r="F26" s="1"/>
      <c r="G26" s="1"/>
      <c r="H26" s="1"/>
      <c r="I26" s="1"/>
      <c r="J26" s="1"/>
      <c r="K26" s="1"/>
      <c r="L26" s="1"/>
      <c r="M26" s="1"/>
      <c r="N26" s="1"/>
      <c r="O26" s="1"/>
      <c r="P26" s="1"/>
      <c r="Q26" s="1"/>
      <c r="R26" s="1"/>
      <c r="S26" s="1"/>
      <c r="T26" s="1"/>
      <c r="U26" s="1"/>
      <c r="V26" s="1"/>
      <c r="W26" s="1"/>
      <c r="X26" s="1"/>
      <c r="Y26" s="1"/>
      <c r="Z26" s="1"/>
    </row>
    <row r="27" ht="15.75" hidden="1" customHeight="1">
      <c r="A27" s="1"/>
      <c r="B27" s="1"/>
      <c r="C27" s="2"/>
      <c r="D27" s="3"/>
      <c r="E27" s="3"/>
      <c r="F27" s="1"/>
      <c r="G27" s="1"/>
      <c r="H27" s="1"/>
      <c r="I27" s="1"/>
      <c r="J27" s="1"/>
      <c r="K27" s="1"/>
      <c r="L27" s="1"/>
      <c r="M27" s="1"/>
      <c r="N27" s="1"/>
      <c r="O27" s="1"/>
      <c r="P27" s="1"/>
      <c r="Q27" s="1"/>
      <c r="R27" s="1"/>
      <c r="S27" s="1"/>
      <c r="T27" s="1"/>
      <c r="U27" s="1"/>
      <c r="V27" s="1"/>
      <c r="W27" s="1"/>
      <c r="X27" s="1"/>
      <c r="Y27" s="1"/>
      <c r="Z27" s="1"/>
    </row>
    <row r="28" ht="15.75" hidden="1" customHeight="1">
      <c r="A28" s="1"/>
      <c r="B28" s="1"/>
      <c r="C28" s="2"/>
      <c r="D28" s="3"/>
      <c r="E28" s="3"/>
      <c r="F28" s="1"/>
      <c r="G28" s="1"/>
      <c r="H28" s="1"/>
      <c r="I28" s="1"/>
      <c r="J28" s="1"/>
      <c r="K28" s="1"/>
      <c r="L28" s="1"/>
      <c r="M28" s="1"/>
      <c r="N28" s="1"/>
      <c r="O28" s="1"/>
      <c r="P28" s="1"/>
      <c r="Q28" s="1"/>
      <c r="R28" s="1"/>
      <c r="S28" s="1"/>
      <c r="T28" s="1"/>
      <c r="U28" s="1"/>
      <c r="V28" s="1"/>
      <c r="W28" s="1"/>
      <c r="X28" s="1"/>
      <c r="Y28" s="1"/>
      <c r="Z28" s="1"/>
    </row>
    <row r="29" ht="15.75" hidden="1" customHeight="1">
      <c r="A29" s="1"/>
      <c r="B29" s="1"/>
      <c r="C29" s="2"/>
      <c r="D29" s="3"/>
      <c r="E29" s="3"/>
      <c r="F29" s="1"/>
      <c r="G29" s="1"/>
      <c r="H29" s="1"/>
      <c r="I29" s="1"/>
      <c r="J29" s="1"/>
      <c r="K29" s="1"/>
      <c r="L29" s="1"/>
      <c r="M29" s="1"/>
      <c r="N29" s="1"/>
      <c r="O29" s="1"/>
      <c r="P29" s="1"/>
      <c r="Q29" s="1"/>
      <c r="R29" s="1"/>
      <c r="S29" s="1"/>
      <c r="T29" s="1"/>
      <c r="U29" s="1"/>
      <c r="V29" s="1"/>
      <c r="W29" s="1"/>
      <c r="X29" s="1"/>
      <c r="Y29" s="1"/>
      <c r="Z29" s="1"/>
    </row>
    <row r="30" ht="15.75" hidden="1" customHeight="1">
      <c r="A30" s="1"/>
      <c r="B30" s="1"/>
      <c r="C30" s="2"/>
      <c r="D30" s="3"/>
      <c r="E30" s="3"/>
      <c r="F30" s="1"/>
      <c r="G30" s="1"/>
      <c r="H30" s="1"/>
      <c r="I30" s="1"/>
      <c r="J30" s="1"/>
      <c r="K30" s="1"/>
      <c r="L30" s="1"/>
      <c r="M30" s="1"/>
      <c r="N30" s="1"/>
      <c r="O30" s="1"/>
      <c r="P30" s="1"/>
      <c r="Q30" s="1"/>
      <c r="R30" s="1"/>
      <c r="S30" s="1"/>
      <c r="T30" s="1"/>
      <c r="U30" s="1"/>
      <c r="V30" s="1"/>
      <c r="W30" s="1"/>
      <c r="X30" s="1"/>
      <c r="Y30" s="1"/>
      <c r="Z30" s="1"/>
    </row>
    <row r="31" ht="15.75" hidden="1" customHeight="1">
      <c r="A31" s="1"/>
      <c r="B31" s="1"/>
      <c r="C31" s="2"/>
      <c r="D31" s="3"/>
      <c r="E31" s="3"/>
      <c r="F31" s="1"/>
      <c r="G31" s="1"/>
      <c r="H31" s="1"/>
      <c r="I31" s="1"/>
      <c r="J31" s="1"/>
      <c r="K31" s="1"/>
      <c r="L31" s="1"/>
      <c r="M31" s="1"/>
      <c r="N31" s="1"/>
      <c r="O31" s="1"/>
      <c r="P31" s="1"/>
      <c r="Q31" s="1"/>
      <c r="R31" s="1"/>
      <c r="S31" s="1"/>
      <c r="T31" s="1"/>
      <c r="U31" s="1"/>
      <c r="V31" s="1"/>
      <c r="W31" s="1"/>
      <c r="X31" s="1"/>
      <c r="Y31" s="1"/>
      <c r="Z31" s="1"/>
    </row>
    <row r="32" ht="15.75" hidden="1" customHeight="1">
      <c r="A32" s="1"/>
      <c r="B32" s="1"/>
      <c r="C32" s="2"/>
      <c r="D32" s="3"/>
      <c r="E32" s="3"/>
      <c r="F32" s="1"/>
      <c r="G32" s="1"/>
      <c r="H32" s="1"/>
      <c r="I32" s="1"/>
      <c r="J32" s="1"/>
      <c r="K32" s="1"/>
      <c r="L32" s="1"/>
      <c r="M32" s="1"/>
      <c r="N32" s="1"/>
      <c r="O32" s="1"/>
      <c r="P32" s="1"/>
      <c r="Q32" s="1"/>
      <c r="R32" s="1"/>
      <c r="S32" s="1"/>
      <c r="T32" s="1"/>
      <c r="U32" s="1"/>
      <c r="V32" s="1"/>
      <c r="W32" s="1"/>
      <c r="X32" s="1"/>
      <c r="Y32" s="1"/>
      <c r="Z32" s="1"/>
    </row>
    <row r="33" ht="15.75" hidden="1" customHeight="1">
      <c r="A33" s="1"/>
      <c r="B33" s="1"/>
      <c r="C33" s="2"/>
      <c r="D33" s="3"/>
      <c r="E33" s="3"/>
      <c r="F33" s="1"/>
      <c r="G33" s="1"/>
      <c r="H33" s="1"/>
      <c r="I33" s="1"/>
      <c r="J33" s="1"/>
      <c r="K33" s="1"/>
      <c r="L33" s="1"/>
      <c r="M33" s="1"/>
      <c r="N33" s="1"/>
      <c r="O33" s="1"/>
      <c r="P33" s="1"/>
      <c r="Q33" s="1"/>
      <c r="R33" s="1"/>
      <c r="S33" s="1"/>
      <c r="T33" s="1"/>
      <c r="U33" s="1"/>
      <c r="V33" s="1"/>
      <c r="W33" s="1"/>
      <c r="X33" s="1"/>
      <c r="Y33" s="1"/>
      <c r="Z33" s="1"/>
    </row>
    <row r="34" ht="15.75" hidden="1" customHeight="1">
      <c r="A34" s="1"/>
      <c r="B34" s="1"/>
      <c r="C34" s="2"/>
      <c r="D34" s="3"/>
      <c r="E34" s="3"/>
      <c r="F34" s="1"/>
      <c r="G34" s="1"/>
      <c r="H34" s="1"/>
      <c r="I34" s="1"/>
      <c r="J34" s="1"/>
      <c r="K34" s="1"/>
      <c r="L34" s="1"/>
      <c r="M34" s="1"/>
      <c r="N34" s="1"/>
      <c r="O34" s="1"/>
      <c r="P34" s="1"/>
      <c r="Q34" s="1"/>
      <c r="R34" s="1"/>
      <c r="S34" s="1"/>
      <c r="T34" s="1"/>
      <c r="U34" s="1"/>
      <c r="V34" s="1"/>
      <c r="W34" s="1"/>
      <c r="X34" s="1"/>
      <c r="Y34" s="1"/>
      <c r="Z34" s="1"/>
    </row>
    <row r="35" ht="15.75" hidden="1" customHeight="1">
      <c r="A35" s="1"/>
      <c r="B35" s="1"/>
      <c r="C35" s="2"/>
      <c r="D35" s="3"/>
      <c r="E35" s="3"/>
      <c r="F35" s="1"/>
      <c r="G35" s="1"/>
      <c r="H35" s="1"/>
      <c r="I35" s="1"/>
      <c r="J35" s="1"/>
      <c r="K35" s="1"/>
      <c r="L35" s="1"/>
      <c r="M35" s="1"/>
      <c r="N35" s="1"/>
      <c r="O35" s="1"/>
      <c r="P35" s="1"/>
      <c r="Q35" s="1"/>
      <c r="R35" s="1"/>
      <c r="S35" s="1"/>
      <c r="T35" s="1"/>
      <c r="U35" s="1"/>
      <c r="V35" s="1"/>
      <c r="W35" s="1"/>
      <c r="X35" s="1"/>
      <c r="Y35" s="1"/>
      <c r="Z35" s="1"/>
    </row>
    <row r="36" ht="15.75" hidden="1" customHeight="1">
      <c r="A36" s="1"/>
      <c r="B36" s="1"/>
      <c r="C36" s="2"/>
      <c r="D36" s="3"/>
      <c r="E36" s="3"/>
      <c r="F36" s="1"/>
      <c r="G36" s="1"/>
      <c r="H36" s="1"/>
      <c r="I36" s="1"/>
      <c r="J36" s="1"/>
      <c r="K36" s="1"/>
      <c r="L36" s="1"/>
      <c r="M36" s="1"/>
      <c r="N36" s="1"/>
      <c r="O36" s="1"/>
      <c r="P36" s="1"/>
      <c r="Q36" s="1"/>
      <c r="R36" s="1"/>
      <c r="S36" s="1"/>
      <c r="T36" s="1"/>
      <c r="U36" s="1"/>
      <c r="V36" s="1"/>
      <c r="W36" s="1"/>
      <c r="X36" s="1"/>
      <c r="Y36" s="1"/>
      <c r="Z36" s="1"/>
    </row>
    <row r="37" ht="15.75" hidden="1" customHeight="1">
      <c r="A37" s="1"/>
      <c r="B37" s="1"/>
      <c r="C37" s="2"/>
      <c r="D37" s="3"/>
      <c r="E37" s="3"/>
      <c r="F37" s="1"/>
      <c r="G37" s="1"/>
      <c r="H37" s="1"/>
      <c r="I37" s="1"/>
      <c r="J37" s="1"/>
      <c r="K37" s="1"/>
      <c r="L37" s="1"/>
      <c r="M37" s="1"/>
      <c r="N37" s="1"/>
      <c r="O37" s="1"/>
      <c r="P37" s="1"/>
      <c r="Q37" s="1"/>
      <c r="R37" s="1"/>
      <c r="S37" s="1"/>
      <c r="T37" s="1"/>
      <c r="U37" s="1"/>
      <c r="V37" s="1"/>
      <c r="W37" s="1"/>
      <c r="X37" s="1"/>
      <c r="Y37" s="1"/>
      <c r="Z37" s="1"/>
    </row>
    <row r="38" ht="15.75" hidden="1" customHeight="1">
      <c r="A38" s="1"/>
      <c r="B38" s="1"/>
      <c r="C38" s="2"/>
      <c r="D38" s="3"/>
      <c r="E38" s="3"/>
      <c r="F38" s="1"/>
      <c r="G38" s="1"/>
      <c r="H38" s="1"/>
      <c r="I38" s="1"/>
      <c r="J38" s="1"/>
      <c r="K38" s="1"/>
      <c r="L38" s="1"/>
      <c r="M38" s="1"/>
      <c r="N38" s="1"/>
      <c r="O38" s="1"/>
      <c r="P38" s="1"/>
      <c r="Q38" s="1"/>
      <c r="R38" s="1"/>
      <c r="S38" s="1"/>
      <c r="T38" s="1"/>
      <c r="U38" s="1"/>
      <c r="V38" s="1"/>
      <c r="W38" s="1"/>
      <c r="X38" s="1"/>
      <c r="Y38" s="1"/>
      <c r="Z38" s="1"/>
    </row>
    <row r="39" ht="15.75" hidden="1" customHeight="1">
      <c r="A39" s="1"/>
      <c r="B39" s="1"/>
      <c r="C39" s="2"/>
      <c r="D39" s="3"/>
      <c r="E39" s="3"/>
      <c r="F39" s="1"/>
      <c r="G39" s="1"/>
      <c r="H39" s="1"/>
      <c r="I39" s="1"/>
      <c r="J39" s="1"/>
      <c r="K39" s="1"/>
      <c r="L39" s="1"/>
      <c r="M39" s="1"/>
      <c r="N39" s="1"/>
      <c r="O39" s="1"/>
      <c r="P39" s="1"/>
      <c r="Q39" s="1"/>
      <c r="R39" s="1"/>
      <c r="S39" s="1"/>
      <c r="T39" s="1"/>
      <c r="U39" s="1"/>
      <c r="V39" s="1"/>
      <c r="W39" s="1"/>
      <c r="X39" s="1"/>
      <c r="Y39" s="1"/>
      <c r="Z39" s="1"/>
    </row>
    <row r="40" ht="15.75" hidden="1" customHeight="1">
      <c r="A40" s="1"/>
      <c r="B40" s="1"/>
      <c r="C40" s="4" t="s">
        <v>0</v>
      </c>
      <c r="D40" s="3"/>
      <c r="E40" s="3"/>
      <c r="F40" s="1"/>
      <c r="G40" s="1"/>
      <c r="H40" s="1"/>
      <c r="I40" s="1"/>
      <c r="J40" s="1"/>
      <c r="K40" s="1"/>
      <c r="L40" s="1"/>
      <c r="M40" s="1"/>
      <c r="N40" s="1"/>
      <c r="O40" s="1"/>
      <c r="P40" s="1"/>
      <c r="Q40" s="1"/>
      <c r="R40" s="1"/>
      <c r="S40" s="1"/>
      <c r="T40" s="1"/>
      <c r="U40" s="1"/>
      <c r="V40" s="1"/>
      <c r="W40" s="1"/>
      <c r="X40" s="1"/>
      <c r="Y40" s="1"/>
      <c r="Z40" s="1"/>
    </row>
    <row r="41" ht="15.75" hidden="1" customHeight="1">
      <c r="A41" s="1"/>
      <c r="B41" s="1"/>
      <c r="C41" s="2"/>
      <c r="D41" s="3"/>
      <c r="E41" s="3"/>
      <c r="F41" s="1"/>
      <c r="G41" s="1"/>
      <c r="H41" s="1"/>
      <c r="I41" s="1"/>
      <c r="J41" s="1"/>
      <c r="K41" s="1"/>
      <c r="L41" s="1"/>
      <c r="M41" s="1"/>
      <c r="N41" s="1"/>
      <c r="O41" s="1"/>
      <c r="P41" s="1"/>
      <c r="Q41" s="1"/>
      <c r="R41" s="1"/>
      <c r="S41" s="1"/>
      <c r="T41" s="1"/>
      <c r="U41" s="1"/>
      <c r="V41" s="1"/>
      <c r="W41" s="1"/>
      <c r="X41" s="1"/>
      <c r="Y41" s="1"/>
      <c r="Z41" s="1"/>
    </row>
    <row r="42" ht="15.75" hidden="1" customHeight="1">
      <c r="A42" s="1"/>
      <c r="B42" s="1"/>
      <c r="C42" s="5" t="s">
        <v>1</v>
      </c>
      <c r="D42" s="6" t="s">
        <v>2</v>
      </c>
      <c r="E42" s="7"/>
      <c r="F42" s="1"/>
      <c r="G42" s="1"/>
      <c r="H42" s="1"/>
      <c r="I42" s="1"/>
      <c r="J42" s="1"/>
      <c r="K42" s="1"/>
      <c r="L42" s="1"/>
      <c r="M42" s="1"/>
      <c r="N42" s="1"/>
      <c r="O42" s="1"/>
      <c r="P42" s="1"/>
      <c r="Q42" s="1"/>
      <c r="R42" s="1"/>
      <c r="S42" s="1"/>
      <c r="T42" s="1"/>
      <c r="U42" s="1"/>
      <c r="V42" s="1"/>
      <c r="W42" s="1"/>
      <c r="X42" s="1"/>
      <c r="Y42" s="1"/>
      <c r="Z42" s="1"/>
    </row>
    <row r="43" ht="15.75" hidden="1" customHeight="1">
      <c r="A43" s="1"/>
      <c r="B43" s="1"/>
      <c r="C43" s="8" t="s">
        <v>3</v>
      </c>
      <c r="D43" s="9" t="s">
        <v>4</v>
      </c>
      <c r="E43" s="10"/>
      <c r="F43" s="1"/>
      <c r="G43" s="1"/>
      <c r="H43" s="1"/>
      <c r="I43" s="1"/>
      <c r="J43" s="1"/>
      <c r="K43" s="1"/>
      <c r="L43" s="1"/>
      <c r="M43" s="1"/>
      <c r="N43" s="1"/>
      <c r="O43" s="1"/>
      <c r="P43" s="1"/>
      <c r="Q43" s="1"/>
      <c r="R43" s="1"/>
      <c r="S43" s="1"/>
      <c r="T43" s="1"/>
      <c r="U43" s="1"/>
      <c r="V43" s="1"/>
      <c r="W43" s="1"/>
      <c r="X43" s="1"/>
      <c r="Y43" s="1"/>
      <c r="Z43" s="1"/>
    </row>
    <row r="44" ht="15.75" hidden="1" customHeight="1">
      <c r="A44" s="1"/>
      <c r="B44" s="1"/>
      <c r="C44" s="8" t="s">
        <v>5</v>
      </c>
      <c r="D44" s="9" t="s">
        <v>6</v>
      </c>
      <c r="E44" s="10"/>
      <c r="F44" s="1"/>
      <c r="G44" s="1"/>
      <c r="H44" s="1"/>
      <c r="I44" s="1"/>
      <c r="J44" s="1"/>
      <c r="K44" s="1"/>
      <c r="L44" s="1"/>
      <c r="M44" s="1"/>
      <c r="N44" s="1"/>
      <c r="O44" s="1"/>
      <c r="P44" s="1"/>
      <c r="Q44" s="1"/>
      <c r="R44" s="1"/>
      <c r="S44" s="1"/>
      <c r="T44" s="1"/>
      <c r="U44" s="1"/>
      <c r="V44" s="1"/>
      <c r="W44" s="1"/>
      <c r="X44" s="1"/>
      <c r="Y44" s="1"/>
      <c r="Z44" s="1"/>
    </row>
    <row r="45" ht="34.5" hidden="1" customHeight="1">
      <c r="A45" s="1"/>
      <c r="B45" s="1"/>
      <c r="C45" s="8" t="s">
        <v>7</v>
      </c>
      <c r="D45" s="11" t="s">
        <v>8</v>
      </c>
      <c r="E45" s="12"/>
      <c r="F45" s="1"/>
      <c r="G45" s="1"/>
      <c r="H45" s="1"/>
      <c r="I45" s="1"/>
      <c r="J45" s="1"/>
      <c r="K45" s="1"/>
      <c r="L45" s="1"/>
      <c r="M45" s="1"/>
      <c r="N45" s="1"/>
      <c r="O45" s="1"/>
      <c r="P45" s="1"/>
      <c r="Q45" s="1"/>
      <c r="R45" s="1"/>
      <c r="S45" s="1"/>
      <c r="T45" s="1"/>
      <c r="U45" s="1"/>
      <c r="V45" s="1"/>
      <c r="W45" s="1"/>
      <c r="X45" s="1"/>
      <c r="Y45" s="1"/>
      <c r="Z45" s="1"/>
    </row>
    <row r="46" ht="15.75" hidden="1" customHeight="1">
      <c r="A46" s="1"/>
      <c r="B46" s="1"/>
      <c r="C46" s="8" t="s">
        <v>9</v>
      </c>
      <c r="D46" s="9" t="s">
        <v>10</v>
      </c>
      <c r="E46" s="10"/>
      <c r="F46" s="1"/>
      <c r="G46" s="1"/>
      <c r="H46" s="1"/>
      <c r="I46" s="1"/>
      <c r="J46" s="1"/>
      <c r="K46" s="1"/>
      <c r="L46" s="1"/>
      <c r="M46" s="1"/>
      <c r="N46" s="1"/>
      <c r="O46" s="1"/>
      <c r="P46" s="1"/>
      <c r="Q46" s="1"/>
      <c r="R46" s="1"/>
      <c r="S46" s="1"/>
      <c r="T46" s="1"/>
      <c r="U46" s="1"/>
      <c r="V46" s="1"/>
      <c r="W46" s="1"/>
      <c r="X46" s="1"/>
      <c r="Y46" s="1"/>
      <c r="Z46" s="1"/>
    </row>
    <row r="47" ht="15.75" hidden="1" customHeight="1">
      <c r="A47" s="1"/>
      <c r="B47" s="1"/>
      <c r="C47" s="13"/>
      <c r="D47" s="10"/>
      <c r="E47" s="10"/>
      <c r="F47" s="1"/>
      <c r="G47" s="1"/>
      <c r="H47" s="1"/>
      <c r="I47" s="1"/>
      <c r="J47" s="1"/>
      <c r="K47" s="1"/>
      <c r="L47" s="1"/>
      <c r="M47" s="1"/>
      <c r="N47" s="1"/>
      <c r="O47" s="1"/>
      <c r="P47" s="1"/>
      <c r="Q47" s="1"/>
      <c r="R47" s="1"/>
      <c r="S47" s="1"/>
      <c r="T47" s="1"/>
      <c r="U47" s="1"/>
      <c r="V47" s="1"/>
      <c r="W47" s="1"/>
      <c r="X47" s="1"/>
      <c r="Y47" s="1"/>
      <c r="Z47" s="1"/>
    </row>
    <row r="48" ht="15.75" hidden="1" customHeight="1">
      <c r="A48" s="1"/>
      <c r="B48" s="1"/>
      <c r="C48" s="2"/>
      <c r="D48" s="3"/>
      <c r="E48" s="3"/>
      <c r="F48" s="1"/>
      <c r="G48" s="1"/>
      <c r="H48" s="1"/>
      <c r="I48" s="1"/>
      <c r="J48" s="1"/>
      <c r="K48" s="1"/>
      <c r="L48" s="1"/>
      <c r="M48" s="1"/>
      <c r="N48" s="1"/>
      <c r="O48" s="1"/>
      <c r="P48" s="1"/>
      <c r="Q48" s="1"/>
      <c r="R48" s="1"/>
      <c r="S48" s="1"/>
      <c r="T48" s="1"/>
      <c r="U48" s="1"/>
      <c r="V48" s="1"/>
      <c r="W48" s="1"/>
      <c r="X48" s="1"/>
      <c r="Y48" s="1"/>
      <c r="Z48" s="1"/>
    </row>
    <row r="49" ht="15.75" hidden="1" customHeight="1">
      <c r="A49" s="14" t="s">
        <v>11</v>
      </c>
      <c r="B49" s="15">
        <v>0.4</v>
      </c>
      <c r="C49" s="16" t="s">
        <v>12</v>
      </c>
      <c r="D49" s="17">
        <v>0.03</v>
      </c>
      <c r="E49" s="18">
        <f>+D49/11</f>
        <v>0.002727272727</v>
      </c>
      <c r="F49" s="19">
        <f>+D49/11</f>
        <v>0.002727272727</v>
      </c>
      <c r="G49" s="1"/>
      <c r="H49" s="1"/>
      <c r="I49" s="1"/>
      <c r="J49" s="1"/>
      <c r="K49" s="1"/>
      <c r="L49" s="1"/>
      <c r="M49" s="1"/>
      <c r="N49" s="1"/>
      <c r="O49" s="1"/>
      <c r="P49" s="1"/>
      <c r="Q49" s="1"/>
      <c r="R49" s="1"/>
      <c r="S49" s="1"/>
      <c r="T49" s="1"/>
      <c r="U49" s="1"/>
      <c r="V49" s="1"/>
      <c r="W49" s="1"/>
      <c r="X49" s="1"/>
      <c r="Y49" s="1"/>
      <c r="Z49" s="1"/>
    </row>
    <row r="50" ht="15.75" hidden="1" customHeight="1">
      <c r="A50" s="20"/>
      <c r="B50" s="20"/>
      <c r="C50" s="16" t="s">
        <v>13</v>
      </c>
      <c r="D50" s="17">
        <v>0.06</v>
      </c>
      <c r="E50" s="18">
        <f>+D50/33</f>
        <v>0.001818181818</v>
      </c>
      <c r="F50" s="21">
        <f>+D50/33</f>
        <v>0.001818181818</v>
      </c>
      <c r="G50" s="1"/>
      <c r="H50" s="1"/>
      <c r="I50" s="1"/>
      <c r="J50" s="1"/>
      <c r="K50" s="1"/>
      <c r="L50" s="1"/>
      <c r="M50" s="1"/>
      <c r="N50" s="1"/>
      <c r="O50" s="1"/>
      <c r="P50" s="1"/>
      <c r="Q50" s="1"/>
      <c r="R50" s="1"/>
      <c r="S50" s="1"/>
      <c r="T50" s="1"/>
      <c r="U50" s="1"/>
      <c r="V50" s="1"/>
      <c r="W50" s="1"/>
      <c r="X50" s="1"/>
      <c r="Y50" s="1"/>
      <c r="Z50" s="1"/>
    </row>
    <row r="51" ht="15.75" hidden="1" customHeight="1">
      <c r="A51" s="20"/>
      <c r="B51" s="20"/>
      <c r="C51" s="16" t="s">
        <v>14</v>
      </c>
      <c r="D51" s="17">
        <v>0.07</v>
      </c>
      <c r="E51" s="22">
        <f>+D51/74</f>
        <v>0.0009459459459</v>
      </c>
      <c r="F51" s="23">
        <f>+D51/74</f>
        <v>0.0009459459459</v>
      </c>
      <c r="G51" s="1"/>
      <c r="H51" s="1"/>
      <c r="I51" s="1"/>
      <c r="J51" s="1"/>
      <c r="K51" s="1"/>
      <c r="L51" s="1"/>
      <c r="M51" s="1"/>
      <c r="N51" s="1"/>
      <c r="O51" s="1"/>
      <c r="P51" s="1"/>
      <c r="Q51" s="1"/>
      <c r="R51" s="1"/>
      <c r="S51" s="1"/>
      <c r="T51" s="1"/>
      <c r="U51" s="1"/>
      <c r="V51" s="1"/>
      <c r="W51" s="1"/>
      <c r="X51" s="1"/>
      <c r="Y51" s="1"/>
      <c r="Z51" s="1"/>
    </row>
    <row r="52" ht="15.75" hidden="1" customHeight="1">
      <c r="A52" s="20"/>
      <c r="B52" s="20"/>
      <c r="C52" s="16" t="s">
        <v>15</v>
      </c>
      <c r="D52" s="17">
        <v>0.07</v>
      </c>
      <c r="E52" s="18">
        <f>+D52/46</f>
        <v>0.00152173913</v>
      </c>
      <c r="F52" s="23">
        <f>+D52/46</f>
        <v>0.00152173913</v>
      </c>
      <c r="G52" s="1"/>
      <c r="H52" s="1"/>
      <c r="I52" s="1"/>
      <c r="J52" s="1"/>
      <c r="K52" s="1"/>
      <c r="L52" s="1"/>
      <c r="M52" s="1"/>
      <c r="N52" s="1"/>
      <c r="O52" s="1"/>
      <c r="P52" s="1"/>
      <c r="Q52" s="1"/>
      <c r="R52" s="1"/>
      <c r="S52" s="1"/>
      <c r="T52" s="1"/>
      <c r="U52" s="1"/>
      <c r="V52" s="1"/>
      <c r="W52" s="1"/>
      <c r="X52" s="1"/>
      <c r="Y52" s="1"/>
      <c r="Z52" s="1"/>
    </row>
    <row r="53" ht="15.75" hidden="1" customHeight="1">
      <c r="A53" s="20"/>
      <c r="B53" s="20"/>
      <c r="C53" s="16" t="s">
        <v>16</v>
      </c>
      <c r="D53" s="17">
        <v>0.02</v>
      </c>
      <c r="E53" s="18">
        <f>+D53/5</f>
        <v>0.004</v>
      </c>
      <c r="F53" s="23">
        <f>+D53/5</f>
        <v>0.004</v>
      </c>
      <c r="G53" s="1"/>
      <c r="H53" s="1"/>
      <c r="I53" s="1"/>
      <c r="J53" s="1"/>
      <c r="K53" s="1"/>
      <c r="L53" s="1"/>
      <c r="M53" s="1"/>
      <c r="N53" s="1"/>
      <c r="O53" s="1"/>
      <c r="P53" s="1"/>
      <c r="Q53" s="1"/>
      <c r="R53" s="1"/>
      <c r="S53" s="1"/>
      <c r="T53" s="1"/>
      <c r="U53" s="1"/>
      <c r="V53" s="1"/>
      <c r="W53" s="1"/>
      <c r="X53" s="1"/>
      <c r="Y53" s="1"/>
      <c r="Z53" s="1"/>
    </row>
    <row r="54" ht="15.75" hidden="1" customHeight="1">
      <c r="A54" s="20"/>
      <c r="B54" s="20"/>
      <c r="C54" s="16" t="s">
        <v>17</v>
      </c>
      <c r="D54" s="17">
        <v>0.04</v>
      </c>
      <c r="E54" s="18">
        <f>+D54/14</f>
        <v>0.002857142857</v>
      </c>
      <c r="F54" s="23">
        <f>+D54/14</f>
        <v>0.002857142857</v>
      </c>
      <c r="G54" s="1"/>
      <c r="H54" s="1"/>
      <c r="I54" s="1"/>
      <c r="J54" s="1"/>
      <c r="K54" s="1"/>
      <c r="L54" s="1"/>
      <c r="M54" s="1"/>
      <c r="N54" s="1"/>
      <c r="O54" s="1"/>
      <c r="P54" s="1"/>
      <c r="Q54" s="1"/>
      <c r="R54" s="1"/>
      <c r="S54" s="1"/>
      <c r="T54" s="1"/>
      <c r="U54" s="1"/>
      <c r="V54" s="1"/>
      <c r="W54" s="1"/>
      <c r="X54" s="1"/>
      <c r="Y54" s="1"/>
      <c r="Z54" s="1"/>
    </row>
    <row r="55" ht="15.75" hidden="1" customHeight="1">
      <c r="A55" s="20"/>
      <c r="B55" s="20"/>
      <c r="C55" s="16" t="s">
        <v>18</v>
      </c>
      <c r="D55" s="17">
        <v>0.03</v>
      </c>
      <c r="E55" s="18">
        <f>+D55/6</f>
        <v>0.005</v>
      </c>
      <c r="F55" s="23">
        <f>+D55/6</f>
        <v>0.005</v>
      </c>
      <c r="G55" s="1"/>
      <c r="H55" s="1"/>
      <c r="I55" s="1"/>
      <c r="J55" s="1"/>
      <c r="K55" s="1"/>
      <c r="L55" s="1"/>
      <c r="M55" s="1"/>
      <c r="N55" s="1"/>
      <c r="O55" s="1"/>
      <c r="P55" s="1"/>
      <c r="Q55" s="1"/>
      <c r="R55" s="1"/>
      <c r="S55" s="1"/>
      <c r="T55" s="1"/>
      <c r="U55" s="1"/>
      <c r="V55" s="1"/>
      <c r="W55" s="1"/>
      <c r="X55" s="1"/>
      <c r="Y55" s="1"/>
      <c r="Z55" s="1"/>
    </row>
    <row r="56" ht="15.75" hidden="1" customHeight="1">
      <c r="A56" s="20"/>
      <c r="B56" s="20"/>
      <c r="C56" s="16" t="s">
        <v>19</v>
      </c>
      <c r="D56" s="17">
        <v>0.04</v>
      </c>
      <c r="E56" s="18">
        <f>+D56/10</f>
        <v>0.004</v>
      </c>
      <c r="F56" s="23">
        <f>+D56/10</f>
        <v>0.004</v>
      </c>
      <c r="G56" s="1"/>
      <c r="H56" s="1"/>
      <c r="I56" s="1"/>
      <c r="J56" s="1"/>
      <c r="K56" s="1"/>
      <c r="L56" s="1"/>
      <c r="M56" s="1"/>
      <c r="N56" s="1"/>
      <c r="O56" s="1"/>
      <c r="P56" s="1"/>
      <c r="Q56" s="1"/>
      <c r="R56" s="1"/>
      <c r="S56" s="1"/>
      <c r="T56" s="1"/>
      <c r="U56" s="1"/>
      <c r="V56" s="1"/>
      <c r="W56" s="1"/>
      <c r="X56" s="1"/>
      <c r="Y56" s="1"/>
      <c r="Z56" s="1"/>
    </row>
    <row r="57" ht="15.75" hidden="1" customHeight="1">
      <c r="A57" s="24"/>
      <c r="B57" s="24"/>
      <c r="C57" s="16" t="s">
        <v>20</v>
      </c>
      <c r="D57" s="17">
        <v>0.04</v>
      </c>
      <c r="E57" s="18">
        <f>+D57/15</f>
        <v>0.002666666667</v>
      </c>
      <c r="F57" s="23">
        <f>+D57/15</f>
        <v>0.002666666667</v>
      </c>
      <c r="G57" s="1"/>
      <c r="H57" s="1"/>
      <c r="I57" s="1"/>
      <c r="J57" s="1"/>
      <c r="K57" s="1"/>
      <c r="L57" s="1"/>
      <c r="M57" s="1"/>
      <c r="N57" s="1"/>
      <c r="O57" s="1"/>
      <c r="P57" s="1"/>
      <c r="Q57" s="1"/>
      <c r="R57" s="1"/>
      <c r="S57" s="1"/>
      <c r="T57" s="1"/>
      <c r="U57" s="1"/>
      <c r="V57" s="1"/>
      <c r="W57" s="1"/>
      <c r="X57" s="1"/>
      <c r="Y57" s="1"/>
      <c r="Z57" s="1"/>
    </row>
    <row r="58" ht="15.75" hidden="1" customHeight="1">
      <c r="A58" s="1"/>
      <c r="B58" s="1"/>
      <c r="C58" s="2"/>
      <c r="D58" s="3"/>
      <c r="E58" s="3"/>
      <c r="F58" s="1"/>
      <c r="G58" s="1"/>
      <c r="H58" s="1"/>
      <c r="I58" s="1"/>
      <c r="J58" s="1"/>
      <c r="K58" s="1"/>
      <c r="L58" s="1"/>
      <c r="M58" s="1"/>
      <c r="N58" s="1"/>
      <c r="O58" s="1"/>
      <c r="P58" s="1"/>
      <c r="Q58" s="1"/>
      <c r="R58" s="1"/>
      <c r="S58" s="1"/>
      <c r="T58" s="1"/>
      <c r="U58" s="1"/>
      <c r="V58" s="1"/>
      <c r="W58" s="1"/>
      <c r="X58" s="1"/>
      <c r="Y58" s="1"/>
      <c r="Z58" s="1"/>
    </row>
    <row r="59" ht="15.75" hidden="1" customHeight="1">
      <c r="A59" s="1"/>
      <c r="B59" s="1"/>
      <c r="C59" s="2"/>
      <c r="D59" s="3"/>
      <c r="E59" s="3"/>
      <c r="F59" s="1"/>
      <c r="G59" s="1"/>
      <c r="H59" s="1"/>
      <c r="I59" s="1"/>
      <c r="J59" s="1"/>
      <c r="K59" s="1"/>
      <c r="L59" s="1"/>
      <c r="M59" s="1"/>
      <c r="N59" s="1"/>
      <c r="O59" s="1"/>
      <c r="P59" s="1"/>
      <c r="Q59" s="1"/>
      <c r="R59" s="1"/>
      <c r="S59" s="1"/>
      <c r="T59" s="1"/>
      <c r="U59" s="1"/>
      <c r="V59" s="1"/>
      <c r="W59" s="1"/>
      <c r="X59" s="1"/>
      <c r="Y59" s="1"/>
      <c r="Z59" s="1"/>
    </row>
    <row r="60" ht="15.75" customHeight="1">
      <c r="A60" s="1"/>
      <c r="B60" s="1"/>
      <c r="C60" s="2"/>
      <c r="D60" s="3"/>
      <c r="E60" s="3"/>
      <c r="F60" s="1"/>
      <c r="G60" s="1"/>
      <c r="H60" s="1"/>
      <c r="I60" s="1"/>
      <c r="J60" s="1"/>
      <c r="K60" s="1"/>
      <c r="L60" s="1"/>
      <c r="M60" s="1"/>
      <c r="N60" s="1"/>
      <c r="O60" s="1"/>
      <c r="P60" s="1"/>
      <c r="Q60" s="1"/>
      <c r="R60" s="1"/>
      <c r="S60" s="1"/>
      <c r="T60" s="1"/>
      <c r="U60" s="1"/>
      <c r="V60" s="1"/>
      <c r="W60" s="1"/>
      <c r="X60" s="1"/>
      <c r="Y60" s="1"/>
      <c r="Z60" s="1"/>
    </row>
    <row r="61" ht="15.75" customHeight="1">
      <c r="A61" s="1"/>
      <c r="B61" s="25" t="s">
        <v>21</v>
      </c>
      <c r="C61" s="26"/>
      <c r="D61" s="26"/>
      <c r="E61" s="27"/>
      <c r="F61" s="28" t="s">
        <v>22</v>
      </c>
      <c r="G61" s="29"/>
      <c r="H61" s="29"/>
      <c r="I61" s="29"/>
      <c r="J61" s="29"/>
      <c r="K61" s="30"/>
      <c r="L61" s="1"/>
      <c r="M61" s="1"/>
      <c r="N61" s="1"/>
      <c r="O61" s="1"/>
      <c r="P61" s="1"/>
      <c r="Q61" s="1"/>
      <c r="R61" s="1"/>
      <c r="S61" s="1"/>
      <c r="T61" s="1"/>
      <c r="U61" s="1"/>
      <c r="V61" s="1"/>
      <c r="W61" s="1"/>
      <c r="X61" s="1"/>
      <c r="Y61" s="1"/>
      <c r="Z61" s="1"/>
    </row>
    <row r="62" ht="15.75" customHeight="1">
      <c r="A62" s="31"/>
      <c r="B62" s="32" t="s">
        <v>23</v>
      </c>
      <c r="C62" s="33" t="s">
        <v>24</v>
      </c>
      <c r="D62" s="34" t="s">
        <v>25</v>
      </c>
      <c r="E62" s="35" t="s">
        <v>26</v>
      </c>
      <c r="F62" s="36" t="s">
        <v>27</v>
      </c>
      <c r="G62" s="36" t="s">
        <v>1</v>
      </c>
      <c r="H62" s="36" t="s">
        <v>28</v>
      </c>
      <c r="I62" s="36" t="s">
        <v>29</v>
      </c>
      <c r="J62" s="36" t="s">
        <v>30</v>
      </c>
      <c r="K62" s="36" t="s">
        <v>31</v>
      </c>
      <c r="L62" s="31"/>
      <c r="M62" s="31"/>
      <c r="N62" s="31"/>
      <c r="O62" s="31"/>
      <c r="P62" s="31"/>
      <c r="Q62" s="31"/>
      <c r="R62" s="31"/>
      <c r="S62" s="31"/>
      <c r="T62" s="31"/>
      <c r="U62" s="31"/>
      <c r="V62" s="31"/>
      <c r="W62" s="31"/>
      <c r="X62" s="31"/>
      <c r="Y62" s="31"/>
      <c r="Z62" s="31"/>
    </row>
    <row r="63" ht="169.5" customHeight="1">
      <c r="A63" s="37"/>
      <c r="B63" s="11" t="s">
        <v>12</v>
      </c>
      <c r="C63" s="38" t="s">
        <v>32</v>
      </c>
      <c r="D63" s="39" t="s">
        <v>33</v>
      </c>
      <c r="E63" s="40" t="s">
        <v>34</v>
      </c>
      <c r="F63" s="41"/>
      <c r="G63" s="42" t="str">
        <f t="shared" ref="G63:G276" si="1">+IF(F63=$D$43,$C$43,IF(F63=$D$44,$C$44,IF(F63=$D$45,$C$45,IF(F63=$D$46,$C$46,"Por favor seleccionar tipo de funcionalidad"))))</f>
        <v>Por favor seleccionar tipo de funcionalidad</v>
      </c>
      <c r="H63" s="41"/>
      <c r="I63" s="41"/>
      <c r="J63" s="41"/>
      <c r="K63" s="43">
        <f t="shared" ref="K63:K73" si="2">+IF(G63=$C$43,$F$49,IF(G63=$C$44,$F$49*75%,IF(G63=$C$45,$F$49*50%,IF(G63=$C$46,$F$49*0%,0%))))</f>
        <v>0</v>
      </c>
      <c r="L63" s="37"/>
      <c r="M63" s="37"/>
      <c r="N63" s="37"/>
      <c r="O63" s="37"/>
      <c r="P63" s="37"/>
      <c r="Q63" s="37"/>
      <c r="R63" s="37"/>
      <c r="S63" s="37"/>
      <c r="T63" s="37"/>
      <c r="U63" s="37"/>
      <c r="V63" s="37"/>
      <c r="W63" s="37"/>
      <c r="X63" s="37"/>
      <c r="Y63" s="37"/>
      <c r="Z63" s="37"/>
    </row>
    <row r="64" ht="145.5" customHeight="1">
      <c r="A64" s="37"/>
      <c r="B64" s="11" t="s">
        <v>12</v>
      </c>
      <c r="C64" s="38" t="s">
        <v>35</v>
      </c>
      <c r="D64" s="39" t="s">
        <v>36</v>
      </c>
      <c r="E64" s="20"/>
      <c r="F64" s="41"/>
      <c r="G64" s="42" t="str">
        <f t="shared" si="1"/>
        <v>Por favor seleccionar tipo de funcionalidad</v>
      </c>
      <c r="H64" s="41"/>
      <c r="I64" s="41"/>
      <c r="J64" s="41"/>
      <c r="K64" s="43">
        <f t="shared" si="2"/>
        <v>0</v>
      </c>
      <c r="L64" s="37"/>
      <c r="M64" s="37"/>
      <c r="N64" s="37"/>
      <c r="O64" s="37"/>
      <c r="P64" s="37"/>
      <c r="Q64" s="37"/>
      <c r="R64" s="37"/>
      <c r="S64" s="37"/>
      <c r="T64" s="37"/>
      <c r="U64" s="37"/>
      <c r="V64" s="37"/>
      <c r="W64" s="37"/>
      <c r="X64" s="37"/>
      <c r="Y64" s="37"/>
      <c r="Z64" s="37"/>
    </row>
    <row r="65" ht="145.5" customHeight="1">
      <c r="A65" s="37"/>
      <c r="B65" s="11" t="s">
        <v>12</v>
      </c>
      <c r="C65" s="38" t="s">
        <v>35</v>
      </c>
      <c r="D65" s="39" t="s">
        <v>37</v>
      </c>
      <c r="E65" s="20"/>
      <c r="F65" s="41"/>
      <c r="G65" s="42" t="str">
        <f t="shared" si="1"/>
        <v>Por favor seleccionar tipo de funcionalidad</v>
      </c>
      <c r="H65" s="41"/>
      <c r="I65" s="41"/>
      <c r="J65" s="41"/>
      <c r="K65" s="43">
        <f t="shared" si="2"/>
        <v>0</v>
      </c>
      <c r="L65" s="37"/>
      <c r="M65" s="37"/>
      <c r="N65" s="37"/>
      <c r="O65" s="37"/>
      <c r="P65" s="37"/>
      <c r="Q65" s="37"/>
      <c r="R65" s="37"/>
      <c r="S65" s="37"/>
      <c r="T65" s="37"/>
      <c r="U65" s="37"/>
      <c r="V65" s="37"/>
      <c r="W65" s="37"/>
      <c r="X65" s="37"/>
      <c r="Y65" s="37"/>
      <c r="Z65" s="37"/>
    </row>
    <row r="66" ht="145.5" customHeight="1">
      <c r="A66" s="37"/>
      <c r="B66" s="11" t="s">
        <v>12</v>
      </c>
      <c r="C66" s="38" t="s">
        <v>35</v>
      </c>
      <c r="D66" s="39" t="s">
        <v>38</v>
      </c>
      <c r="E66" s="20"/>
      <c r="F66" s="41"/>
      <c r="G66" s="42" t="str">
        <f t="shared" si="1"/>
        <v>Por favor seleccionar tipo de funcionalidad</v>
      </c>
      <c r="H66" s="41"/>
      <c r="I66" s="41"/>
      <c r="J66" s="41"/>
      <c r="K66" s="43">
        <f t="shared" si="2"/>
        <v>0</v>
      </c>
      <c r="L66" s="37"/>
      <c r="M66" s="37"/>
      <c r="N66" s="37"/>
      <c r="O66" s="37"/>
      <c r="P66" s="37"/>
      <c r="Q66" s="37"/>
      <c r="R66" s="37"/>
      <c r="S66" s="37"/>
      <c r="T66" s="37"/>
      <c r="U66" s="37"/>
      <c r="V66" s="37"/>
      <c r="W66" s="37"/>
      <c r="X66" s="37"/>
      <c r="Y66" s="37"/>
      <c r="Z66" s="37"/>
    </row>
    <row r="67" ht="145.5" customHeight="1">
      <c r="A67" s="37"/>
      <c r="B67" s="11" t="s">
        <v>12</v>
      </c>
      <c r="C67" s="38" t="s">
        <v>35</v>
      </c>
      <c r="D67" s="39" t="s">
        <v>39</v>
      </c>
      <c r="E67" s="20"/>
      <c r="F67" s="41"/>
      <c r="G67" s="42" t="str">
        <f t="shared" si="1"/>
        <v>Por favor seleccionar tipo de funcionalidad</v>
      </c>
      <c r="H67" s="41"/>
      <c r="I67" s="41"/>
      <c r="J67" s="41"/>
      <c r="K67" s="43">
        <f t="shared" si="2"/>
        <v>0</v>
      </c>
      <c r="L67" s="37"/>
      <c r="M67" s="37"/>
      <c r="N67" s="37"/>
      <c r="O67" s="37"/>
      <c r="P67" s="37"/>
      <c r="Q67" s="37"/>
      <c r="R67" s="37"/>
      <c r="S67" s="37"/>
      <c r="T67" s="37"/>
      <c r="U67" s="37"/>
      <c r="V67" s="37"/>
      <c r="W67" s="37"/>
      <c r="X67" s="37"/>
      <c r="Y67" s="37"/>
      <c r="Z67" s="37"/>
    </row>
    <row r="68" ht="145.5" customHeight="1">
      <c r="A68" s="37"/>
      <c r="B68" s="11" t="s">
        <v>12</v>
      </c>
      <c r="C68" s="38" t="s">
        <v>35</v>
      </c>
      <c r="D68" s="39" t="s">
        <v>40</v>
      </c>
      <c r="E68" s="20"/>
      <c r="F68" s="41"/>
      <c r="G68" s="42" t="str">
        <f t="shared" si="1"/>
        <v>Por favor seleccionar tipo de funcionalidad</v>
      </c>
      <c r="H68" s="41"/>
      <c r="I68" s="41"/>
      <c r="J68" s="41"/>
      <c r="K68" s="43">
        <f t="shared" si="2"/>
        <v>0</v>
      </c>
      <c r="L68" s="37"/>
      <c r="M68" s="37"/>
      <c r="N68" s="37"/>
      <c r="O68" s="37"/>
      <c r="P68" s="37"/>
      <c r="Q68" s="37"/>
      <c r="R68" s="37"/>
      <c r="S68" s="37"/>
      <c r="T68" s="37"/>
      <c r="U68" s="37"/>
      <c r="V68" s="37"/>
      <c r="W68" s="37"/>
      <c r="X68" s="37"/>
      <c r="Y68" s="37"/>
      <c r="Z68" s="37"/>
    </row>
    <row r="69" ht="145.5" customHeight="1">
      <c r="A69" s="37"/>
      <c r="B69" s="11" t="s">
        <v>12</v>
      </c>
      <c r="C69" s="38" t="s">
        <v>35</v>
      </c>
      <c r="D69" s="39" t="s">
        <v>41</v>
      </c>
      <c r="E69" s="20"/>
      <c r="F69" s="41"/>
      <c r="G69" s="42" t="str">
        <f t="shared" si="1"/>
        <v>Por favor seleccionar tipo de funcionalidad</v>
      </c>
      <c r="H69" s="41"/>
      <c r="I69" s="41"/>
      <c r="J69" s="41"/>
      <c r="K69" s="43">
        <f t="shared" si="2"/>
        <v>0</v>
      </c>
      <c r="L69" s="37"/>
      <c r="M69" s="37"/>
      <c r="N69" s="37"/>
      <c r="O69" s="37"/>
      <c r="P69" s="37"/>
      <c r="Q69" s="37"/>
      <c r="R69" s="37"/>
      <c r="S69" s="37"/>
      <c r="T69" s="37"/>
      <c r="U69" s="37"/>
      <c r="V69" s="37"/>
      <c r="W69" s="37"/>
      <c r="X69" s="37"/>
      <c r="Y69" s="37"/>
      <c r="Z69" s="37"/>
    </row>
    <row r="70" ht="145.5" customHeight="1">
      <c r="A70" s="37"/>
      <c r="B70" s="11" t="s">
        <v>12</v>
      </c>
      <c r="C70" s="38" t="s">
        <v>35</v>
      </c>
      <c r="D70" s="39" t="s">
        <v>42</v>
      </c>
      <c r="E70" s="20"/>
      <c r="F70" s="41"/>
      <c r="G70" s="42" t="str">
        <f t="shared" si="1"/>
        <v>Por favor seleccionar tipo de funcionalidad</v>
      </c>
      <c r="H70" s="41"/>
      <c r="I70" s="41"/>
      <c r="J70" s="41"/>
      <c r="K70" s="43">
        <f t="shared" si="2"/>
        <v>0</v>
      </c>
      <c r="L70" s="37"/>
      <c r="M70" s="37"/>
      <c r="N70" s="37"/>
      <c r="O70" s="37"/>
      <c r="P70" s="37"/>
      <c r="Q70" s="37"/>
      <c r="R70" s="37"/>
      <c r="S70" s="37"/>
      <c r="T70" s="37"/>
      <c r="U70" s="37"/>
      <c r="V70" s="37"/>
      <c r="W70" s="37"/>
      <c r="X70" s="37"/>
      <c r="Y70" s="37"/>
      <c r="Z70" s="37"/>
    </row>
    <row r="71" ht="174.75" customHeight="1">
      <c r="A71" s="37"/>
      <c r="B71" s="11" t="s">
        <v>12</v>
      </c>
      <c r="C71" s="38" t="s">
        <v>43</v>
      </c>
      <c r="D71" s="39" t="s">
        <v>44</v>
      </c>
      <c r="E71" s="20"/>
      <c r="F71" s="41"/>
      <c r="G71" s="42" t="str">
        <f t="shared" si="1"/>
        <v>Por favor seleccionar tipo de funcionalidad</v>
      </c>
      <c r="H71" s="41"/>
      <c r="I71" s="41"/>
      <c r="J71" s="41"/>
      <c r="K71" s="43">
        <f t="shared" si="2"/>
        <v>0</v>
      </c>
      <c r="L71" s="37"/>
      <c r="M71" s="37"/>
      <c r="N71" s="37"/>
      <c r="O71" s="37"/>
      <c r="P71" s="37"/>
      <c r="Q71" s="37"/>
      <c r="R71" s="37"/>
      <c r="S71" s="37"/>
      <c r="T71" s="37"/>
      <c r="U71" s="37"/>
      <c r="V71" s="37"/>
      <c r="W71" s="37"/>
      <c r="X71" s="37"/>
      <c r="Y71" s="37"/>
      <c r="Z71" s="37"/>
    </row>
    <row r="72" ht="174.75" customHeight="1">
      <c r="A72" s="37"/>
      <c r="B72" s="11" t="s">
        <v>12</v>
      </c>
      <c r="C72" s="38" t="s">
        <v>43</v>
      </c>
      <c r="D72" s="39" t="s">
        <v>45</v>
      </c>
      <c r="E72" s="24"/>
      <c r="F72" s="41"/>
      <c r="G72" s="42" t="str">
        <f t="shared" si="1"/>
        <v>Por favor seleccionar tipo de funcionalidad</v>
      </c>
      <c r="H72" s="41"/>
      <c r="I72" s="41"/>
      <c r="J72" s="41"/>
      <c r="K72" s="43">
        <f t="shared" si="2"/>
        <v>0</v>
      </c>
      <c r="L72" s="37"/>
      <c r="M72" s="37"/>
      <c r="N72" s="37"/>
      <c r="O72" s="37"/>
      <c r="P72" s="37"/>
      <c r="Q72" s="37"/>
      <c r="R72" s="37"/>
      <c r="S72" s="37"/>
      <c r="T72" s="37"/>
      <c r="U72" s="37"/>
      <c r="V72" s="37"/>
      <c r="W72" s="37"/>
      <c r="X72" s="37"/>
      <c r="Y72" s="37"/>
      <c r="Z72" s="37"/>
    </row>
    <row r="73" ht="168.0" customHeight="1">
      <c r="A73" s="37"/>
      <c r="B73" s="11" t="s">
        <v>12</v>
      </c>
      <c r="C73" s="38" t="s">
        <v>46</v>
      </c>
      <c r="D73" s="39" t="s">
        <v>47</v>
      </c>
      <c r="E73" s="39" t="s">
        <v>48</v>
      </c>
      <c r="F73" s="41"/>
      <c r="G73" s="42" t="str">
        <f t="shared" si="1"/>
        <v>Por favor seleccionar tipo de funcionalidad</v>
      </c>
      <c r="H73" s="41"/>
      <c r="I73" s="41"/>
      <c r="J73" s="41"/>
      <c r="K73" s="43">
        <f t="shared" si="2"/>
        <v>0</v>
      </c>
      <c r="L73" s="37"/>
      <c r="M73" s="37"/>
      <c r="N73" s="37"/>
      <c r="O73" s="37"/>
      <c r="P73" s="37"/>
      <c r="Q73" s="37"/>
      <c r="R73" s="37"/>
      <c r="S73" s="37"/>
      <c r="T73" s="37"/>
      <c r="U73" s="37"/>
      <c r="V73" s="37"/>
      <c r="W73" s="37"/>
      <c r="X73" s="37"/>
      <c r="Y73" s="37"/>
      <c r="Z73" s="37"/>
    </row>
    <row r="74" ht="156.0" customHeight="1">
      <c r="A74" s="37"/>
      <c r="B74" s="11" t="s">
        <v>13</v>
      </c>
      <c r="C74" s="44" t="s">
        <v>49</v>
      </c>
      <c r="D74" s="39" t="s">
        <v>50</v>
      </c>
      <c r="E74" s="40" t="s">
        <v>51</v>
      </c>
      <c r="F74" s="41"/>
      <c r="G74" s="42" t="str">
        <f t="shared" si="1"/>
        <v>Por favor seleccionar tipo de funcionalidad</v>
      </c>
      <c r="H74" s="41"/>
      <c r="I74" s="41"/>
      <c r="J74" s="41"/>
      <c r="K74" s="43">
        <f t="shared" ref="K74:K106" si="3">+IF(G74=$C$43,$F$50,IF(G74=$C$44,$F$50*75%,IF(G74=$C$45,$F$50*50%,IF(G74=$C$46,$F$50*0%,0%))))</f>
        <v>0</v>
      </c>
      <c r="L74" s="37"/>
      <c r="M74" s="37"/>
      <c r="N74" s="37"/>
      <c r="O74" s="37"/>
      <c r="P74" s="37"/>
      <c r="Q74" s="37"/>
      <c r="R74" s="37"/>
      <c r="S74" s="37"/>
      <c r="T74" s="37"/>
      <c r="U74" s="37"/>
      <c r="V74" s="37"/>
      <c r="W74" s="37"/>
      <c r="X74" s="37"/>
      <c r="Y74" s="37"/>
      <c r="Z74" s="37"/>
    </row>
    <row r="75" ht="156.0" customHeight="1">
      <c r="A75" s="37"/>
      <c r="B75" s="11" t="s">
        <v>13</v>
      </c>
      <c r="C75" s="44" t="s">
        <v>49</v>
      </c>
      <c r="D75" s="39" t="s">
        <v>52</v>
      </c>
      <c r="E75" s="20"/>
      <c r="F75" s="41"/>
      <c r="G75" s="42" t="str">
        <f t="shared" si="1"/>
        <v>Por favor seleccionar tipo de funcionalidad</v>
      </c>
      <c r="H75" s="41"/>
      <c r="I75" s="41"/>
      <c r="J75" s="41"/>
      <c r="K75" s="43">
        <f t="shared" si="3"/>
        <v>0</v>
      </c>
      <c r="L75" s="37"/>
      <c r="M75" s="37"/>
      <c r="N75" s="37"/>
      <c r="O75" s="37"/>
      <c r="P75" s="37"/>
      <c r="Q75" s="37"/>
      <c r="R75" s="37"/>
      <c r="S75" s="37"/>
      <c r="T75" s="37"/>
      <c r="U75" s="37"/>
      <c r="V75" s="37"/>
      <c r="W75" s="37"/>
      <c r="X75" s="37"/>
      <c r="Y75" s="37"/>
      <c r="Z75" s="37"/>
    </row>
    <row r="76" ht="156.0" customHeight="1">
      <c r="A76" s="37"/>
      <c r="B76" s="11" t="s">
        <v>13</v>
      </c>
      <c r="C76" s="44" t="s">
        <v>49</v>
      </c>
      <c r="D76" s="39" t="s">
        <v>53</v>
      </c>
      <c r="E76" s="20"/>
      <c r="F76" s="41"/>
      <c r="G76" s="42" t="str">
        <f t="shared" si="1"/>
        <v>Por favor seleccionar tipo de funcionalidad</v>
      </c>
      <c r="H76" s="41"/>
      <c r="I76" s="41"/>
      <c r="J76" s="41"/>
      <c r="K76" s="43">
        <f t="shared" si="3"/>
        <v>0</v>
      </c>
      <c r="L76" s="37"/>
      <c r="M76" s="37"/>
      <c r="N76" s="37"/>
      <c r="O76" s="37"/>
      <c r="P76" s="37"/>
      <c r="Q76" s="37"/>
      <c r="R76" s="37"/>
      <c r="S76" s="37"/>
      <c r="T76" s="37"/>
      <c r="U76" s="37"/>
      <c r="V76" s="37"/>
      <c r="W76" s="37"/>
      <c r="X76" s="37"/>
      <c r="Y76" s="37"/>
      <c r="Z76" s="37"/>
    </row>
    <row r="77" ht="193.5" customHeight="1">
      <c r="A77" s="37"/>
      <c r="B77" s="11" t="s">
        <v>13</v>
      </c>
      <c r="C77" s="44" t="s">
        <v>54</v>
      </c>
      <c r="D77" s="39" t="s">
        <v>55</v>
      </c>
      <c r="E77" s="20"/>
      <c r="F77" s="41"/>
      <c r="G77" s="42" t="str">
        <f t="shared" si="1"/>
        <v>Por favor seleccionar tipo de funcionalidad</v>
      </c>
      <c r="H77" s="41"/>
      <c r="I77" s="41"/>
      <c r="J77" s="41"/>
      <c r="K77" s="43">
        <f t="shared" si="3"/>
        <v>0</v>
      </c>
      <c r="L77" s="37"/>
      <c r="M77" s="37"/>
      <c r="N77" s="37"/>
      <c r="O77" s="37"/>
      <c r="P77" s="37"/>
      <c r="Q77" s="37"/>
      <c r="R77" s="37"/>
      <c r="S77" s="37"/>
      <c r="T77" s="37"/>
      <c r="U77" s="37"/>
      <c r="V77" s="37"/>
      <c r="W77" s="37"/>
      <c r="X77" s="37"/>
      <c r="Y77" s="37"/>
      <c r="Z77" s="37"/>
    </row>
    <row r="78" ht="193.5" customHeight="1">
      <c r="A78" s="37"/>
      <c r="B78" s="11" t="s">
        <v>13</v>
      </c>
      <c r="C78" s="44" t="s">
        <v>54</v>
      </c>
      <c r="D78" s="39" t="s">
        <v>56</v>
      </c>
      <c r="E78" s="20"/>
      <c r="F78" s="41"/>
      <c r="G78" s="42" t="str">
        <f t="shared" si="1"/>
        <v>Por favor seleccionar tipo de funcionalidad</v>
      </c>
      <c r="H78" s="41"/>
      <c r="I78" s="41"/>
      <c r="J78" s="41"/>
      <c r="K78" s="43">
        <f t="shared" si="3"/>
        <v>0</v>
      </c>
      <c r="L78" s="37"/>
      <c r="M78" s="37"/>
      <c r="N78" s="37"/>
      <c r="O78" s="37"/>
      <c r="P78" s="37"/>
      <c r="Q78" s="37"/>
      <c r="R78" s="37"/>
      <c r="S78" s="37"/>
      <c r="T78" s="37"/>
      <c r="U78" s="37"/>
      <c r="V78" s="37"/>
      <c r="W78" s="37"/>
      <c r="X78" s="37"/>
      <c r="Y78" s="37"/>
      <c r="Z78" s="37"/>
    </row>
    <row r="79" ht="193.5" customHeight="1">
      <c r="A79" s="37"/>
      <c r="B79" s="11" t="s">
        <v>13</v>
      </c>
      <c r="C79" s="44" t="s">
        <v>54</v>
      </c>
      <c r="D79" s="39" t="s">
        <v>57</v>
      </c>
      <c r="E79" s="20"/>
      <c r="F79" s="41"/>
      <c r="G79" s="42" t="str">
        <f t="shared" si="1"/>
        <v>Por favor seleccionar tipo de funcionalidad</v>
      </c>
      <c r="H79" s="41"/>
      <c r="I79" s="41"/>
      <c r="J79" s="41"/>
      <c r="K79" s="43">
        <f t="shared" si="3"/>
        <v>0</v>
      </c>
      <c r="L79" s="37"/>
      <c r="M79" s="37"/>
      <c r="N79" s="37"/>
      <c r="O79" s="37"/>
      <c r="P79" s="37"/>
      <c r="Q79" s="37"/>
      <c r="R79" s="37"/>
      <c r="S79" s="37"/>
      <c r="T79" s="37"/>
      <c r="U79" s="37"/>
      <c r="V79" s="37"/>
      <c r="W79" s="37"/>
      <c r="X79" s="37"/>
      <c r="Y79" s="37"/>
      <c r="Z79" s="37"/>
    </row>
    <row r="80" ht="193.5" customHeight="1">
      <c r="A80" s="37"/>
      <c r="B80" s="11" t="s">
        <v>13</v>
      </c>
      <c r="C80" s="44" t="s">
        <v>54</v>
      </c>
      <c r="D80" s="39" t="s">
        <v>58</v>
      </c>
      <c r="E80" s="20"/>
      <c r="F80" s="41"/>
      <c r="G80" s="42" t="str">
        <f t="shared" si="1"/>
        <v>Por favor seleccionar tipo de funcionalidad</v>
      </c>
      <c r="H80" s="41"/>
      <c r="I80" s="41"/>
      <c r="J80" s="41"/>
      <c r="K80" s="43">
        <f t="shared" si="3"/>
        <v>0</v>
      </c>
      <c r="L80" s="37"/>
      <c r="M80" s="37"/>
      <c r="N80" s="37"/>
      <c r="O80" s="37"/>
      <c r="P80" s="37"/>
      <c r="Q80" s="37"/>
      <c r="R80" s="37"/>
      <c r="S80" s="37"/>
      <c r="T80" s="37"/>
      <c r="U80" s="37"/>
      <c r="V80" s="37"/>
      <c r="W80" s="37"/>
      <c r="X80" s="37"/>
      <c r="Y80" s="37"/>
      <c r="Z80" s="37"/>
    </row>
    <row r="81" ht="193.5" customHeight="1">
      <c r="A81" s="37"/>
      <c r="B81" s="11" t="s">
        <v>13</v>
      </c>
      <c r="C81" s="44" t="s">
        <v>54</v>
      </c>
      <c r="D81" s="39" t="s">
        <v>59</v>
      </c>
      <c r="E81" s="24"/>
      <c r="F81" s="41"/>
      <c r="G81" s="42" t="str">
        <f t="shared" si="1"/>
        <v>Por favor seleccionar tipo de funcionalidad</v>
      </c>
      <c r="H81" s="41"/>
      <c r="I81" s="41"/>
      <c r="J81" s="41"/>
      <c r="K81" s="43">
        <f t="shared" si="3"/>
        <v>0</v>
      </c>
      <c r="L81" s="37"/>
      <c r="M81" s="37"/>
      <c r="N81" s="37"/>
      <c r="O81" s="37"/>
      <c r="P81" s="37"/>
      <c r="Q81" s="37"/>
      <c r="R81" s="37"/>
      <c r="S81" s="37"/>
      <c r="T81" s="37"/>
      <c r="U81" s="37"/>
      <c r="V81" s="37"/>
      <c r="W81" s="37"/>
      <c r="X81" s="37"/>
      <c r="Y81" s="37"/>
      <c r="Z81" s="37"/>
    </row>
    <row r="82" ht="274.5" customHeight="1">
      <c r="A82" s="37"/>
      <c r="B82" s="11" t="s">
        <v>13</v>
      </c>
      <c r="C82" s="44" t="s">
        <v>60</v>
      </c>
      <c r="D82" s="39" t="s">
        <v>61</v>
      </c>
      <c r="E82" s="40" t="s">
        <v>62</v>
      </c>
      <c r="F82" s="41"/>
      <c r="G82" s="42" t="str">
        <f t="shared" si="1"/>
        <v>Por favor seleccionar tipo de funcionalidad</v>
      </c>
      <c r="H82" s="41"/>
      <c r="I82" s="41"/>
      <c r="J82" s="41"/>
      <c r="K82" s="43">
        <f t="shared" si="3"/>
        <v>0</v>
      </c>
      <c r="L82" s="37"/>
      <c r="M82" s="37"/>
      <c r="N82" s="37"/>
      <c r="O82" s="37"/>
      <c r="P82" s="37"/>
      <c r="Q82" s="37"/>
      <c r="R82" s="37"/>
      <c r="S82" s="37"/>
      <c r="T82" s="37"/>
      <c r="U82" s="37"/>
      <c r="V82" s="37"/>
      <c r="W82" s="37"/>
      <c r="X82" s="37"/>
      <c r="Y82" s="37"/>
      <c r="Z82" s="37"/>
    </row>
    <row r="83" ht="274.5" customHeight="1">
      <c r="A83" s="37"/>
      <c r="B83" s="11" t="s">
        <v>13</v>
      </c>
      <c r="C83" s="44" t="s">
        <v>60</v>
      </c>
      <c r="D83" s="39" t="s">
        <v>63</v>
      </c>
      <c r="E83" s="24"/>
      <c r="F83" s="41"/>
      <c r="G83" s="42" t="str">
        <f t="shared" si="1"/>
        <v>Por favor seleccionar tipo de funcionalidad</v>
      </c>
      <c r="H83" s="41"/>
      <c r="I83" s="41"/>
      <c r="J83" s="41"/>
      <c r="K83" s="43">
        <f t="shared" si="3"/>
        <v>0</v>
      </c>
      <c r="L83" s="37"/>
      <c r="M83" s="37"/>
      <c r="N83" s="37"/>
      <c r="O83" s="37"/>
      <c r="P83" s="37"/>
      <c r="Q83" s="37"/>
      <c r="R83" s="37"/>
      <c r="S83" s="37"/>
      <c r="T83" s="37"/>
      <c r="U83" s="37"/>
      <c r="V83" s="37"/>
      <c r="W83" s="37"/>
      <c r="X83" s="37"/>
      <c r="Y83" s="37"/>
      <c r="Z83" s="37"/>
    </row>
    <row r="84" ht="221.25" customHeight="1">
      <c r="A84" s="37"/>
      <c r="B84" s="11" t="s">
        <v>13</v>
      </c>
      <c r="C84" s="44" t="s">
        <v>64</v>
      </c>
      <c r="D84" s="39" t="s">
        <v>65</v>
      </c>
      <c r="E84" s="45" t="s">
        <v>66</v>
      </c>
      <c r="F84" s="41"/>
      <c r="G84" s="42" t="str">
        <f t="shared" si="1"/>
        <v>Por favor seleccionar tipo de funcionalidad</v>
      </c>
      <c r="H84" s="41"/>
      <c r="I84" s="41"/>
      <c r="J84" s="41"/>
      <c r="K84" s="43">
        <f t="shared" si="3"/>
        <v>0</v>
      </c>
      <c r="L84" s="37"/>
      <c r="M84" s="37"/>
      <c r="N84" s="37"/>
      <c r="O84" s="37"/>
      <c r="P84" s="37"/>
      <c r="Q84" s="37"/>
      <c r="R84" s="37"/>
      <c r="S84" s="37"/>
      <c r="T84" s="37"/>
      <c r="U84" s="37"/>
      <c r="V84" s="37"/>
      <c r="W84" s="37"/>
      <c r="X84" s="37"/>
      <c r="Y84" s="37"/>
      <c r="Z84" s="37"/>
    </row>
    <row r="85" ht="221.25" customHeight="1">
      <c r="A85" s="37"/>
      <c r="B85" s="11" t="s">
        <v>13</v>
      </c>
      <c r="C85" s="44" t="s">
        <v>64</v>
      </c>
      <c r="D85" s="39" t="s">
        <v>67</v>
      </c>
      <c r="E85" s="24"/>
      <c r="F85" s="41"/>
      <c r="G85" s="42" t="str">
        <f t="shared" si="1"/>
        <v>Por favor seleccionar tipo de funcionalidad</v>
      </c>
      <c r="H85" s="41"/>
      <c r="I85" s="41"/>
      <c r="J85" s="41"/>
      <c r="K85" s="43">
        <f t="shared" si="3"/>
        <v>0</v>
      </c>
      <c r="L85" s="37"/>
      <c r="M85" s="37"/>
      <c r="N85" s="37"/>
      <c r="O85" s="37"/>
      <c r="P85" s="37"/>
      <c r="Q85" s="37"/>
      <c r="R85" s="37"/>
      <c r="S85" s="37"/>
      <c r="T85" s="37"/>
      <c r="U85" s="37"/>
      <c r="V85" s="37"/>
      <c r="W85" s="37"/>
      <c r="X85" s="37"/>
      <c r="Y85" s="37"/>
      <c r="Z85" s="37"/>
    </row>
    <row r="86" ht="101.25" customHeight="1">
      <c r="A86" s="37"/>
      <c r="B86" s="11" t="s">
        <v>13</v>
      </c>
      <c r="C86" s="44" t="s">
        <v>68</v>
      </c>
      <c r="D86" s="39" t="s">
        <v>69</v>
      </c>
      <c r="E86" s="40" t="s">
        <v>51</v>
      </c>
      <c r="F86" s="41"/>
      <c r="G86" s="42" t="str">
        <f t="shared" si="1"/>
        <v>Por favor seleccionar tipo de funcionalidad</v>
      </c>
      <c r="H86" s="41"/>
      <c r="I86" s="41"/>
      <c r="J86" s="41"/>
      <c r="K86" s="43">
        <f t="shared" si="3"/>
        <v>0</v>
      </c>
      <c r="L86" s="37"/>
      <c r="M86" s="37"/>
      <c r="N86" s="37"/>
      <c r="O86" s="37"/>
      <c r="P86" s="37"/>
      <c r="Q86" s="37"/>
      <c r="R86" s="37"/>
      <c r="S86" s="37"/>
      <c r="T86" s="37"/>
      <c r="U86" s="37"/>
      <c r="V86" s="37"/>
      <c r="W86" s="37"/>
      <c r="X86" s="37"/>
      <c r="Y86" s="37"/>
      <c r="Z86" s="37"/>
    </row>
    <row r="87" ht="15.75" customHeight="1">
      <c r="A87" s="37"/>
      <c r="B87" s="11" t="s">
        <v>13</v>
      </c>
      <c r="C87" s="46" t="s">
        <v>70</v>
      </c>
      <c r="D87" s="47" t="s">
        <v>71</v>
      </c>
      <c r="E87" s="20"/>
      <c r="F87" s="41"/>
      <c r="G87" s="42" t="str">
        <f t="shared" si="1"/>
        <v>Por favor seleccionar tipo de funcionalidad</v>
      </c>
      <c r="H87" s="41"/>
      <c r="I87" s="41"/>
      <c r="J87" s="41"/>
      <c r="K87" s="43">
        <f t="shared" si="3"/>
        <v>0</v>
      </c>
      <c r="L87" s="37"/>
      <c r="M87" s="37"/>
      <c r="N87" s="37"/>
      <c r="O87" s="37"/>
      <c r="P87" s="37"/>
      <c r="Q87" s="37"/>
      <c r="R87" s="37"/>
      <c r="S87" s="37"/>
      <c r="T87" s="37"/>
      <c r="U87" s="37"/>
      <c r="V87" s="37"/>
      <c r="W87" s="37"/>
      <c r="X87" s="37"/>
      <c r="Y87" s="37"/>
      <c r="Z87" s="37"/>
    </row>
    <row r="88" ht="15.75" customHeight="1">
      <c r="A88" s="37"/>
      <c r="B88" s="11" t="s">
        <v>13</v>
      </c>
      <c r="C88" s="46" t="s">
        <v>72</v>
      </c>
      <c r="D88" s="47" t="s">
        <v>73</v>
      </c>
      <c r="E88" s="20"/>
      <c r="F88" s="41"/>
      <c r="G88" s="42" t="str">
        <f t="shared" si="1"/>
        <v>Por favor seleccionar tipo de funcionalidad</v>
      </c>
      <c r="H88" s="41"/>
      <c r="I88" s="41"/>
      <c r="J88" s="41"/>
      <c r="K88" s="43">
        <f t="shared" si="3"/>
        <v>0</v>
      </c>
      <c r="L88" s="37"/>
      <c r="M88" s="37"/>
      <c r="N88" s="37"/>
      <c r="O88" s="37"/>
      <c r="P88" s="37"/>
      <c r="Q88" s="37"/>
      <c r="R88" s="37"/>
      <c r="S88" s="37"/>
      <c r="T88" s="37"/>
      <c r="U88" s="37"/>
      <c r="V88" s="37"/>
      <c r="W88" s="37"/>
      <c r="X88" s="37"/>
      <c r="Y88" s="37"/>
      <c r="Z88" s="37"/>
    </row>
    <row r="89" ht="15.75" customHeight="1">
      <c r="A89" s="37"/>
      <c r="B89" s="11" t="s">
        <v>13</v>
      </c>
      <c r="C89" s="44" t="s">
        <v>74</v>
      </c>
      <c r="D89" s="39" t="s">
        <v>75</v>
      </c>
      <c r="E89" s="20"/>
      <c r="F89" s="41"/>
      <c r="G89" s="42" t="str">
        <f t="shared" si="1"/>
        <v>Por favor seleccionar tipo de funcionalidad</v>
      </c>
      <c r="H89" s="41"/>
      <c r="I89" s="41"/>
      <c r="J89" s="41"/>
      <c r="K89" s="43">
        <f t="shared" si="3"/>
        <v>0</v>
      </c>
      <c r="L89" s="37"/>
      <c r="M89" s="37"/>
      <c r="N89" s="37"/>
      <c r="O89" s="37"/>
      <c r="P89" s="37"/>
      <c r="Q89" s="37"/>
      <c r="R89" s="37"/>
      <c r="S89" s="37"/>
      <c r="T89" s="37"/>
      <c r="U89" s="37"/>
      <c r="V89" s="37"/>
      <c r="W89" s="37"/>
      <c r="X89" s="37"/>
      <c r="Y89" s="37"/>
      <c r="Z89" s="37"/>
    </row>
    <row r="90" ht="69.0" customHeight="1">
      <c r="A90" s="37"/>
      <c r="B90" s="11" t="s">
        <v>13</v>
      </c>
      <c r="C90" s="44" t="s">
        <v>76</v>
      </c>
      <c r="D90" s="39" t="s">
        <v>77</v>
      </c>
      <c r="E90" s="24"/>
      <c r="F90" s="41"/>
      <c r="G90" s="42" t="str">
        <f t="shared" si="1"/>
        <v>Por favor seleccionar tipo de funcionalidad</v>
      </c>
      <c r="H90" s="41"/>
      <c r="I90" s="41"/>
      <c r="J90" s="41"/>
      <c r="K90" s="43">
        <f t="shared" si="3"/>
        <v>0</v>
      </c>
      <c r="L90" s="37"/>
      <c r="M90" s="37"/>
      <c r="N90" s="37"/>
      <c r="O90" s="37"/>
      <c r="P90" s="37"/>
      <c r="Q90" s="37"/>
      <c r="R90" s="37"/>
      <c r="S90" s="37"/>
      <c r="T90" s="37"/>
      <c r="U90" s="37"/>
      <c r="V90" s="37"/>
      <c r="W90" s="37"/>
      <c r="X90" s="37"/>
      <c r="Y90" s="37"/>
      <c r="Z90" s="37"/>
    </row>
    <row r="91" ht="69.0" customHeight="1">
      <c r="A91" s="37"/>
      <c r="B91" s="11" t="s">
        <v>13</v>
      </c>
      <c r="C91" s="44" t="s">
        <v>76</v>
      </c>
      <c r="D91" s="39" t="s">
        <v>78</v>
      </c>
      <c r="E91" s="40" t="s">
        <v>79</v>
      </c>
      <c r="F91" s="41"/>
      <c r="G91" s="42" t="str">
        <f t="shared" si="1"/>
        <v>Por favor seleccionar tipo de funcionalidad</v>
      </c>
      <c r="H91" s="41"/>
      <c r="I91" s="41"/>
      <c r="J91" s="41"/>
      <c r="K91" s="43">
        <f t="shared" si="3"/>
        <v>0</v>
      </c>
      <c r="L91" s="37"/>
      <c r="M91" s="37"/>
      <c r="N91" s="37"/>
      <c r="O91" s="37"/>
      <c r="P91" s="37"/>
      <c r="Q91" s="37"/>
      <c r="R91" s="37"/>
      <c r="S91" s="37"/>
      <c r="T91" s="37"/>
      <c r="U91" s="37"/>
      <c r="V91" s="37"/>
      <c r="W91" s="37"/>
      <c r="X91" s="37"/>
      <c r="Y91" s="37"/>
      <c r="Z91" s="37"/>
    </row>
    <row r="92" ht="174.0" customHeight="1">
      <c r="A92" s="37"/>
      <c r="B92" s="11" t="s">
        <v>13</v>
      </c>
      <c r="C92" s="44" t="s">
        <v>76</v>
      </c>
      <c r="D92" s="47" t="s">
        <v>80</v>
      </c>
      <c r="E92" s="20"/>
      <c r="F92" s="41"/>
      <c r="G92" s="42" t="str">
        <f t="shared" si="1"/>
        <v>Por favor seleccionar tipo de funcionalidad</v>
      </c>
      <c r="H92" s="41"/>
      <c r="I92" s="41"/>
      <c r="J92" s="41"/>
      <c r="K92" s="43">
        <f t="shared" si="3"/>
        <v>0</v>
      </c>
      <c r="L92" s="37"/>
      <c r="M92" s="37"/>
      <c r="N92" s="37"/>
      <c r="O92" s="37"/>
      <c r="P92" s="37"/>
      <c r="Q92" s="37"/>
      <c r="R92" s="37"/>
      <c r="S92" s="37"/>
      <c r="T92" s="37"/>
      <c r="U92" s="37"/>
      <c r="V92" s="37"/>
      <c r="W92" s="37"/>
      <c r="X92" s="37"/>
      <c r="Y92" s="37"/>
      <c r="Z92" s="37"/>
    </row>
    <row r="93" ht="186.75" customHeight="1">
      <c r="A93" s="37"/>
      <c r="B93" s="11" t="s">
        <v>13</v>
      </c>
      <c r="C93" s="44" t="s">
        <v>76</v>
      </c>
      <c r="D93" s="47" t="s">
        <v>81</v>
      </c>
      <c r="E93" s="20"/>
      <c r="F93" s="41"/>
      <c r="G93" s="42" t="str">
        <f t="shared" si="1"/>
        <v>Por favor seleccionar tipo de funcionalidad</v>
      </c>
      <c r="H93" s="41"/>
      <c r="I93" s="41"/>
      <c r="J93" s="41"/>
      <c r="K93" s="43">
        <f t="shared" si="3"/>
        <v>0</v>
      </c>
      <c r="L93" s="37"/>
      <c r="M93" s="37"/>
      <c r="N93" s="37"/>
      <c r="O93" s="37"/>
      <c r="P93" s="37"/>
      <c r="Q93" s="37"/>
      <c r="R93" s="37"/>
      <c r="S93" s="37"/>
      <c r="T93" s="37"/>
      <c r="U93" s="37"/>
      <c r="V93" s="37"/>
      <c r="W93" s="37"/>
      <c r="X93" s="37"/>
      <c r="Y93" s="37"/>
      <c r="Z93" s="37"/>
    </row>
    <row r="94" ht="69.0" customHeight="1">
      <c r="A94" s="37"/>
      <c r="B94" s="11" t="s">
        <v>13</v>
      </c>
      <c r="C94" s="44" t="s">
        <v>76</v>
      </c>
      <c r="D94" s="39" t="s">
        <v>82</v>
      </c>
      <c r="E94" s="20"/>
      <c r="F94" s="41"/>
      <c r="G94" s="42" t="str">
        <f t="shared" si="1"/>
        <v>Por favor seleccionar tipo de funcionalidad</v>
      </c>
      <c r="H94" s="41"/>
      <c r="I94" s="41"/>
      <c r="J94" s="41"/>
      <c r="K94" s="43">
        <f t="shared" si="3"/>
        <v>0</v>
      </c>
      <c r="L94" s="37"/>
      <c r="M94" s="37"/>
      <c r="N94" s="37"/>
      <c r="O94" s="37"/>
      <c r="P94" s="37"/>
      <c r="Q94" s="37"/>
      <c r="R94" s="37"/>
      <c r="S94" s="37"/>
      <c r="T94" s="37"/>
      <c r="U94" s="37"/>
      <c r="V94" s="37"/>
      <c r="W94" s="37"/>
      <c r="X94" s="37"/>
      <c r="Y94" s="37"/>
      <c r="Z94" s="37"/>
    </row>
    <row r="95" ht="69.0" customHeight="1">
      <c r="A95" s="37"/>
      <c r="B95" s="11" t="s">
        <v>13</v>
      </c>
      <c r="C95" s="44" t="s">
        <v>76</v>
      </c>
      <c r="D95" s="39" t="s">
        <v>83</v>
      </c>
      <c r="E95" s="24"/>
      <c r="F95" s="41"/>
      <c r="G95" s="42" t="str">
        <f t="shared" si="1"/>
        <v>Por favor seleccionar tipo de funcionalidad</v>
      </c>
      <c r="H95" s="41"/>
      <c r="I95" s="41"/>
      <c r="J95" s="41"/>
      <c r="K95" s="43">
        <f t="shared" si="3"/>
        <v>0</v>
      </c>
      <c r="L95" s="37"/>
      <c r="M95" s="37"/>
      <c r="N95" s="37"/>
      <c r="O95" s="37"/>
      <c r="P95" s="37"/>
      <c r="Q95" s="37"/>
      <c r="R95" s="37"/>
      <c r="S95" s="37"/>
      <c r="T95" s="37"/>
      <c r="U95" s="37"/>
      <c r="V95" s="37"/>
      <c r="W95" s="37"/>
      <c r="X95" s="37"/>
      <c r="Y95" s="37"/>
      <c r="Z95" s="37"/>
    </row>
    <row r="96" ht="48.0" customHeight="1">
      <c r="A96" s="37"/>
      <c r="B96" s="11" t="s">
        <v>13</v>
      </c>
      <c r="C96" s="44" t="s">
        <v>84</v>
      </c>
      <c r="D96" s="39" t="s">
        <v>85</v>
      </c>
      <c r="E96" s="39" t="s">
        <v>62</v>
      </c>
      <c r="F96" s="41"/>
      <c r="G96" s="42" t="str">
        <f t="shared" si="1"/>
        <v>Por favor seleccionar tipo de funcionalidad</v>
      </c>
      <c r="H96" s="41"/>
      <c r="I96" s="41"/>
      <c r="J96" s="41"/>
      <c r="K96" s="43">
        <f t="shared" si="3"/>
        <v>0</v>
      </c>
      <c r="L96" s="37"/>
      <c r="M96" s="37"/>
      <c r="N96" s="37"/>
      <c r="O96" s="37"/>
      <c r="P96" s="37"/>
      <c r="Q96" s="37"/>
      <c r="R96" s="37"/>
      <c r="S96" s="37"/>
      <c r="T96" s="37"/>
      <c r="U96" s="37"/>
      <c r="V96" s="37"/>
      <c r="W96" s="37"/>
      <c r="X96" s="37"/>
      <c r="Y96" s="37"/>
      <c r="Z96" s="37"/>
    </row>
    <row r="97" ht="15.75" customHeight="1">
      <c r="A97" s="37"/>
      <c r="B97" s="11" t="s">
        <v>13</v>
      </c>
      <c r="C97" s="44" t="s">
        <v>86</v>
      </c>
      <c r="D97" s="39" t="s">
        <v>87</v>
      </c>
      <c r="E97" s="39" t="s">
        <v>66</v>
      </c>
      <c r="F97" s="41"/>
      <c r="G97" s="42" t="str">
        <f t="shared" si="1"/>
        <v>Por favor seleccionar tipo de funcionalidad</v>
      </c>
      <c r="H97" s="41"/>
      <c r="I97" s="41"/>
      <c r="J97" s="41"/>
      <c r="K97" s="43">
        <f t="shared" si="3"/>
        <v>0</v>
      </c>
      <c r="L97" s="37"/>
      <c r="M97" s="37"/>
      <c r="N97" s="37"/>
      <c r="O97" s="37"/>
      <c r="P97" s="37"/>
      <c r="Q97" s="37"/>
      <c r="R97" s="37"/>
      <c r="S97" s="37"/>
      <c r="T97" s="37"/>
      <c r="U97" s="37"/>
      <c r="V97" s="37"/>
      <c r="W97" s="37"/>
      <c r="X97" s="37"/>
      <c r="Y97" s="37"/>
      <c r="Z97" s="37"/>
    </row>
    <row r="98" ht="15.75" customHeight="1">
      <c r="A98" s="37"/>
      <c r="B98" s="11" t="s">
        <v>13</v>
      </c>
      <c r="C98" s="44" t="s">
        <v>88</v>
      </c>
      <c r="D98" s="39" t="s">
        <v>89</v>
      </c>
      <c r="E98" s="39" t="s">
        <v>90</v>
      </c>
      <c r="F98" s="41"/>
      <c r="G98" s="42" t="str">
        <f t="shared" si="1"/>
        <v>Por favor seleccionar tipo de funcionalidad</v>
      </c>
      <c r="H98" s="41"/>
      <c r="I98" s="41"/>
      <c r="J98" s="41"/>
      <c r="K98" s="43">
        <f t="shared" si="3"/>
        <v>0</v>
      </c>
      <c r="L98" s="37"/>
      <c r="M98" s="37"/>
      <c r="N98" s="37"/>
      <c r="O98" s="37"/>
      <c r="P98" s="37"/>
      <c r="Q98" s="37"/>
      <c r="R98" s="37"/>
      <c r="S98" s="37"/>
      <c r="T98" s="37"/>
      <c r="U98" s="37"/>
      <c r="V98" s="37"/>
      <c r="W98" s="37"/>
      <c r="X98" s="37"/>
      <c r="Y98" s="37"/>
      <c r="Z98" s="37"/>
    </row>
    <row r="99" ht="15.75" customHeight="1">
      <c r="A99" s="37"/>
      <c r="B99" s="11" t="s">
        <v>13</v>
      </c>
      <c r="C99" s="44" t="s">
        <v>91</v>
      </c>
      <c r="D99" s="39" t="s">
        <v>92</v>
      </c>
      <c r="E99" s="39" t="s">
        <v>93</v>
      </c>
      <c r="F99" s="41"/>
      <c r="G99" s="42" t="str">
        <f t="shared" si="1"/>
        <v>Por favor seleccionar tipo de funcionalidad</v>
      </c>
      <c r="H99" s="41"/>
      <c r="I99" s="41"/>
      <c r="J99" s="41"/>
      <c r="K99" s="43">
        <f t="shared" si="3"/>
        <v>0</v>
      </c>
      <c r="L99" s="37"/>
      <c r="M99" s="37"/>
      <c r="N99" s="37"/>
      <c r="O99" s="37"/>
      <c r="P99" s="37"/>
      <c r="Q99" s="37"/>
      <c r="R99" s="37"/>
      <c r="S99" s="37"/>
      <c r="T99" s="37"/>
      <c r="U99" s="37"/>
      <c r="V99" s="37"/>
      <c r="W99" s="37"/>
      <c r="X99" s="37"/>
      <c r="Y99" s="37"/>
      <c r="Z99" s="37"/>
    </row>
    <row r="100" ht="15.75" customHeight="1">
      <c r="A100" s="37"/>
      <c r="B100" s="11" t="s">
        <v>13</v>
      </c>
      <c r="C100" s="44" t="s">
        <v>94</v>
      </c>
      <c r="D100" s="39" t="s">
        <v>95</v>
      </c>
      <c r="E100" s="39" t="s">
        <v>51</v>
      </c>
      <c r="F100" s="41"/>
      <c r="G100" s="42" t="str">
        <f t="shared" si="1"/>
        <v>Por favor seleccionar tipo de funcionalidad</v>
      </c>
      <c r="H100" s="41"/>
      <c r="I100" s="41"/>
      <c r="J100" s="41"/>
      <c r="K100" s="43">
        <f t="shared" si="3"/>
        <v>0</v>
      </c>
      <c r="L100" s="37"/>
      <c r="M100" s="37"/>
      <c r="N100" s="37"/>
      <c r="O100" s="37"/>
      <c r="P100" s="37"/>
      <c r="Q100" s="37"/>
      <c r="R100" s="37"/>
      <c r="S100" s="37"/>
      <c r="T100" s="37"/>
      <c r="U100" s="37"/>
      <c r="V100" s="37"/>
      <c r="W100" s="37"/>
      <c r="X100" s="37"/>
      <c r="Y100" s="37"/>
      <c r="Z100" s="37"/>
    </row>
    <row r="101" ht="46.5" customHeight="1">
      <c r="A101" s="37"/>
      <c r="B101" s="11" t="s">
        <v>13</v>
      </c>
      <c r="C101" s="44" t="s">
        <v>96</v>
      </c>
      <c r="D101" s="39" t="s">
        <v>97</v>
      </c>
      <c r="E101" s="39" t="s">
        <v>51</v>
      </c>
      <c r="F101" s="41"/>
      <c r="G101" s="42" t="str">
        <f t="shared" si="1"/>
        <v>Por favor seleccionar tipo de funcionalidad</v>
      </c>
      <c r="H101" s="41"/>
      <c r="I101" s="41"/>
      <c r="J101" s="41"/>
      <c r="K101" s="43">
        <f t="shared" si="3"/>
        <v>0</v>
      </c>
      <c r="L101" s="37"/>
      <c r="M101" s="37"/>
      <c r="N101" s="37"/>
      <c r="O101" s="37"/>
      <c r="P101" s="37"/>
      <c r="Q101" s="37"/>
      <c r="R101" s="37"/>
      <c r="S101" s="37"/>
      <c r="T101" s="37"/>
      <c r="U101" s="37"/>
      <c r="V101" s="37"/>
      <c r="W101" s="37"/>
      <c r="X101" s="37"/>
      <c r="Y101" s="37"/>
      <c r="Z101" s="37"/>
    </row>
    <row r="102" ht="15.75" customHeight="1">
      <c r="A102" s="37"/>
      <c r="B102" s="11" t="s">
        <v>13</v>
      </c>
      <c r="C102" s="44" t="s">
        <v>98</v>
      </c>
      <c r="D102" s="39" t="s">
        <v>99</v>
      </c>
      <c r="E102" s="39" t="s">
        <v>51</v>
      </c>
      <c r="F102" s="41"/>
      <c r="G102" s="42" t="str">
        <f t="shared" si="1"/>
        <v>Por favor seleccionar tipo de funcionalidad</v>
      </c>
      <c r="H102" s="41"/>
      <c r="I102" s="41"/>
      <c r="J102" s="41"/>
      <c r="K102" s="43">
        <f t="shared" si="3"/>
        <v>0</v>
      </c>
      <c r="L102" s="37"/>
      <c r="M102" s="37"/>
      <c r="N102" s="37"/>
      <c r="O102" s="37"/>
      <c r="P102" s="37"/>
      <c r="Q102" s="37"/>
      <c r="R102" s="37"/>
      <c r="S102" s="37"/>
      <c r="T102" s="37"/>
      <c r="U102" s="37"/>
      <c r="V102" s="37"/>
      <c r="W102" s="37"/>
      <c r="X102" s="37"/>
      <c r="Y102" s="37"/>
      <c r="Z102" s="37"/>
    </row>
    <row r="103" ht="15.75" customHeight="1">
      <c r="A103" s="37"/>
      <c r="B103" s="11" t="s">
        <v>13</v>
      </c>
      <c r="C103" s="44" t="s">
        <v>100</v>
      </c>
      <c r="D103" s="39" t="s">
        <v>101</v>
      </c>
      <c r="E103" s="39" t="s">
        <v>102</v>
      </c>
      <c r="F103" s="41"/>
      <c r="G103" s="42" t="str">
        <f t="shared" si="1"/>
        <v>Por favor seleccionar tipo de funcionalidad</v>
      </c>
      <c r="H103" s="41"/>
      <c r="I103" s="41"/>
      <c r="J103" s="41"/>
      <c r="K103" s="43">
        <f t="shared" si="3"/>
        <v>0</v>
      </c>
      <c r="L103" s="37"/>
      <c r="M103" s="37"/>
      <c r="N103" s="37"/>
      <c r="O103" s="37"/>
      <c r="P103" s="37"/>
      <c r="Q103" s="37"/>
      <c r="R103" s="37"/>
      <c r="S103" s="37"/>
      <c r="T103" s="37"/>
      <c r="U103" s="37"/>
      <c r="V103" s="37"/>
      <c r="W103" s="37"/>
      <c r="X103" s="37"/>
      <c r="Y103" s="37"/>
      <c r="Z103" s="37"/>
    </row>
    <row r="104" ht="15.75" customHeight="1">
      <c r="A104" s="37"/>
      <c r="B104" s="11" t="s">
        <v>13</v>
      </c>
      <c r="C104" s="44" t="s">
        <v>103</v>
      </c>
      <c r="D104" s="48" t="s">
        <v>104</v>
      </c>
      <c r="E104" s="39" t="s">
        <v>102</v>
      </c>
      <c r="F104" s="41"/>
      <c r="G104" s="42" t="str">
        <f t="shared" si="1"/>
        <v>Por favor seleccionar tipo de funcionalidad</v>
      </c>
      <c r="H104" s="41"/>
      <c r="I104" s="41"/>
      <c r="J104" s="41"/>
      <c r="K104" s="43">
        <f t="shared" si="3"/>
        <v>0</v>
      </c>
      <c r="L104" s="37"/>
      <c r="M104" s="37"/>
      <c r="N104" s="37"/>
      <c r="O104" s="37"/>
      <c r="P104" s="37"/>
      <c r="Q104" s="37"/>
      <c r="R104" s="37"/>
      <c r="S104" s="37"/>
      <c r="T104" s="37"/>
      <c r="U104" s="37"/>
      <c r="V104" s="37"/>
      <c r="W104" s="37"/>
      <c r="X104" s="37"/>
      <c r="Y104" s="37"/>
      <c r="Z104" s="37"/>
    </row>
    <row r="105" ht="15.75" customHeight="1">
      <c r="A105" s="37"/>
      <c r="B105" s="11" t="s">
        <v>13</v>
      </c>
      <c r="C105" s="44" t="s">
        <v>103</v>
      </c>
      <c r="D105" s="39" t="s">
        <v>105</v>
      </c>
      <c r="E105" s="39" t="s">
        <v>106</v>
      </c>
      <c r="F105" s="41"/>
      <c r="G105" s="42" t="str">
        <f t="shared" si="1"/>
        <v>Por favor seleccionar tipo de funcionalidad</v>
      </c>
      <c r="H105" s="41"/>
      <c r="I105" s="41"/>
      <c r="J105" s="41"/>
      <c r="K105" s="43">
        <f t="shared" si="3"/>
        <v>0</v>
      </c>
      <c r="L105" s="37"/>
      <c r="M105" s="37"/>
      <c r="N105" s="37"/>
      <c r="O105" s="37"/>
      <c r="P105" s="37"/>
      <c r="Q105" s="37"/>
      <c r="R105" s="37"/>
      <c r="S105" s="37"/>
      <c r="T105" s="37"/>
      <c r="U105" s="37"/>
      <c r="V105" s="37"/>
      <c r="W105" s="37"/>
      <c r="X105" s="37"/>
      <c r="Y105" s="37"/>
      <c r="Z105" s="37"/>
    </row>
    <row r="106" ht="15.75" customHeight="1">
      <c r="A106" s="37"/>
      <c r="B106" s="11" t="s">
        <v>13</v>
      </c>
      <c r="C106" s="44" t="s">
        <v>103</v>
      </c>
      <c r="D106" s="39" t="s">
        <v>107</v>
      </c>
      <c r="E106" s="39"/>
      <c r="F106" s="41"/>
      <c r="G106" s="42" t="str">
        <f t="shared" si="1"/>
        <v>Por favor seleccionar tipo de funcionalidad</v>
      </c>
      <c r="H106" s="41"/>
      <c r="I106" s="41"/>
      <c r="J106" s="41"/>
      <c r="K106" s="43">
        <f t="shared" si="3"/>
        <v>0</v>
      </c>
      <c r="L106" s="37"/>
      <c r="M106" s="37"/>
      <c r="N106" s="37"/>
      <c r="O106" s="37"/>
      <c r="P106" s="37"/>
      <c r="Q106" s="37"/>
      <c r="R106" s="37"/>
      <c r="S106" s="37"/>
      <c r="T106" s="37"/>
      <c r="U106" s="37"/>
      <c r="V106" s="37"/>
      <c r="W106" s="37"/>
      <c r="X106" s="37"/>
      <c r="Y106" s="37"/>
      <c r="Z106" s="37"/>
    </row>
    <row r="107" ht="15.75" customHeight="1">
      <c r="A107" s="37"/>
      <c r="B107" s="49" t="s">
        <v>15</v>
      </c>
      <c r="C107" s="44" t="s">
        <v>108</v>
      </c>
      <c r="D107" s="39" t="s">
        <v>109</v>
      </c>
      <c r="E107" s="39" t="s">
        <v>110</v>
      </c>
      <c r="F107" s="41"/>
      <c r="G107" s="42" t="str">
        <f t="shared" si="1"/>
        <v>Por favor seleccionar tipo de funcionalidad</v>
      </c>
      <c r="H107" s="41"/>
      <c r="I107" s="41"/>
      <c r="J107" s="41"/>
      <c r="K107" s="43">
        <f t="shared" ref="K107:K152" si="4">+IF(G74=$C$43,$F$52,IF(G74=$C$44,$F$52*75%,IF(G74=$C$45,$F$52*50%,IF(G74=$C$46,$F$52*0%,0%))))</f>
        <v>0</v>
      </c>
      <c r="L107" s="37"/>
      <c r="M107" s="37"/>
      <c r="N107" s="37"/>
      <c r="O107" s="37"/>
      <c r="P107" s="37"/>
      <c r="Q107" s="37"/>
      <c r="R107" s="37"/>
      <c r="S107" s="37"/>
      <c r="T107" s="37"/>
      <c r="U107" s="37"/>
      <c r="V107" s="37"/>
      <c r="W107" s="37"/>
      <c r="X107" s="37"/>
      <c r="Y107" s="37"/>
      <c r="Z107" s="37"/>
    </row>
    <row r="108" ht="15.75" customHeight="1">
      <c r="A108" s="37"/>
      <c r="B108" s="11" t="s">
        <v>15</v>
      </c>
      <c r="C108" s="44" t="s">
        <v>111</v>
      </c>
      <c r="D108" s="39" t="s">
        <v>112</v>
      </c>
      <c r="E108" s="40" t="s">
        <v>62</v>
      </c>
      <c r="F108" s="41"/>
      <c r="G108" s="42" t="str">
        <f t="shared" si="1"/>
        <v>Por favor seleccionar tipo de funcionalidad</v>
      </c>
      <c r="H108" s="41"/>
      <c r="I108" s="41"/>
      <c r="J108" s="41"/>
      <c r="K108" s="43">
        <f t="shared" si="4"/>
        <v>0</v>
      </c>
      <c r="L108" s="37"/>
      <c r="M108" s="37"/>
      <c r="N108" s="37"/>
      <c r="O108" s="37"/>
      <c r="P108" s="37"/>
      <c r="Q108" s="37"/>
      <c r="R108" s="37"/>
      <c r="S108" s="37"/>
      <c r="T108" s="37"/>
      <c r="U108" s="37"/>
      <c r="V108" s="37"/>
      <c r="W108" s="37"/>
      <c r="X108" s="37"/>
      <c r="Y108" s="37"/>
      <c r="Z108" s="37"/>
    </row>
    <row r="109" ht="15.75" customHeight="1">
      <c r="A109" s="37"/>
      <c r="B109" s="11" t="s">
        <v>15</v>
      </c>
      <c r="C109" s="44" t="s">
        <v>113</v>
      </c>
      <c r="D109" s="39" t="s">
        <v>114</v>
      </c>
      <c r="E109" s="20"/>
      <c r="F109" s="41"/>
      <c r="G109" s="42" t="str">
        <f t="shared" si="1"/>
        <v>Por favor seleccionar tipo de funcionalidad</v>
      </c>
      <c r="H109" s="41"/>
      <c r="I109" s="41"/>
      <c r="J109" s="41"/>
      <c r="K109" s="43">
        <f t="shared" si="4"/>
        <v>0</v>
      </c>
      <c r="L109" s="37"/>
      <c r="M109" s="37"/>
      <c r="N109" s="37"/>
      <c r="O109" s="37"/>
      <c r="P109" s="37"/>
      <c r="Q109" s="37"/>
      <c r="R109" s="37"/>
      <c r="S109" s="37"/>
      <c r="T109" s="37"/>
      <c r="U109" s="37"/>
      <c r="V109" s="37"/>
      <c r="W109" s="37"/>
      <c r="X109" s="37"/>
      <c r="Y109" s="37"/>
      <c r="Z109" s="37"/>
    </row>
    <row r="110" ht="15.75" customHeight="1">
      <c r="A110" s="37"/>
      <c r="B110" s="11" t="s">
        <v>15</v>
      </c>
      <c r="C110" s="44" t="s">
        <v>115</v>
      </c>
      <c r="D110" s="39" t="s">
        <v>116</v>
      </c>
      <c r="E110" s="20"/>
      <c r="F110" s="41"/>
      <c r="G110" s="42" t="str">
        <f t="shared" si="1"/>
        <v>Por favor seleccionar tipo de funcionalidad</v>
      </c>
      <c r="H110" s="41"/>
      <c r="I110" s="41"/>
      <c r="J110" s="41"/>
      <c r="K110" s="43">
        <f t="shared" si="4"/>
        <v>0</v>
      </c>
      <c r="L110" s="37"/>
      <c r="M110" s="37"/>
      <c r="N110" s="37"/>
      <c r="O110" s="37"/>
      <c r="P110" s="37"/>
      <c r="Q110" s="37"/>
      <c r="R110" s="37"/>
      <c r="S110" s="37"/>
      <c r="T110" s="37"/>
      <c r="U110" s="37"/>
      <c r="V110" s="37"/>
      <c r="W110" s="37"/>
      <c r="X110" s="37"/>
      <c r="Y110" s="37"/>
      <c r="Z110" s="37"/>
    </row>
    <row r="111" ht="15.75" customHeight="1">
      <c r="A111" s="37"/>
      <c r="B111" s="11" t="s">
        <v>15</v>
      </c>
      <c r="C111" s="44" t="s">
        <v>117</v>
      </c>
      <c r="D111" s="39" t="s">
        <v>118</v>
      </c>
      <c r="E111" s="20"/>
      <c r="F111" s="41"/>
      <c r="G111" s="42" t="str">
        <f t="shared" si="1"/>
        <v>Por favor seleccionar tipo de funcionalidad</v>
      </c>
      <c r="H111" s="41"/>
      <c r="I111" s="41"/>
      <c r="J111" s="41"/>
      <c r="K111" s="43">
        <f t="shared" si="4"/>
        <v>0</v>
      </c>
      <c r="L111" s="37"/>
      <c r="M111" s="37"/>
      <c r="N111" s="37"/>
      <c r="O111" s="37"/>
      <c r="P111" s="37"/>
      <c r="Q111" s="37"/>
      <c r="R111" s="37"/>
      <c r="S111" s="37"/>
      <c r="T111" s="37"/>
      <c r="U111" s="37"/>
      <c r="V111" s="37"/>
      <c r="W111" s="37"/>
      <c r="X111" s="37"/>
      <c r="Y111" s="37"/>
      <c r="Z111" s="37"/>
    </row>
    <row r="112" ht="15.75" customHeight="1">
      <c r="A112" s="37"/>
      <c r="B112" s="11" t="s">
        <v>15</v>
      </c>
      <c r="C112" s="44" t="s">
        <v>119</v>
      </c>
      <c r="D112" s="39" t="s">
        <v>120</v>
      </c>
      <c r="E112" s="20"/>
      <c r="F112" s="41"/>
      <c r="G112" s="42" t="str">
        <f t="shared" si="1"/>
        <v>Por favor seleccionar tipo de funcionalidad</v>
      </c>
      <c r="H112" s="41"/>
      <c r="I112" s="41"/>
      <c r="J112" s="41"/>
      <c r="K112" s="43">
        <f t="shared" si="4"/>
        <v>0</v>
      </c>
      <c r="L112" s="37"/>
      <c r="M112" s="37"/>
      <c r="N112" s="37"/>
      <c r="O112" s="37"/>
      <c r="P112" s="37"/>
      <c r="Q112" s="37"/>
      <c r="R112" s="37"/>
      <c r="S112" s="37"/>
      <c r="T112" s="37"/>
      <c r="U112" s="37"/>
      <c r="V112" s="37"/>
      <c r="W112" s="37"/>
      <c r="X112" s="37"/>
      <c r="Y112" s="37"/>
      <c r="Z112" s="37"/>
    </row>
    <row r="113" ht="15.75" customHeight="1">
      <c r="A113" s="37"/>
      <c r="B113" s="11" t="s">
        <v>15</v>
      </c>
      <c r="C113" s="44" t="s">
        <v>119</v>
      </c>
      <c r="D113" s="39" t="s">
        <v>121</v>
      </c>
      <c r="E113" s="24"/>
      <c r="F113" s="41"/>
      <c r="G113" s="42" t="str">
        <f t="shared" si="1"/>
        <v>Por favor seleccionar tipo de funcionalidad</v>
      </c>
      <c r="H113" s="41"/>
      <c r="I113" s="41"/>
      <c r="J113" s="41"/>
      <c r="K113" s="43">
        <f t="shared" si="4"/>
        <v>0</v>
      </c>
      <c r="L113" s="37"/>
      <c r="M113" s="37"/>
      <c r="N113" s="37"/>
      <c r="O113" s="37"/>
      <c r="P113" s="37"/>
      <c r="Q113" s="37"/>
      <c r="R113" s="37"/>
      <c r="S113" s="37"/>
      <c r="T113" s="37"/>
      <c r="U113" s="37"/>
      <c r="V113" s="37"/>
      <c r="W113" s="37"/>
      <c r="X113" s="37"/>
      <c r="Y113" s="37"/>
      <c r="Z113" s="37"/>
    </row>
    <row r="114" ht="15.75" customHeight="1">
      <c r="A114" s="37"/>
      <c r="B114" s="11" t="s">
        <v>15</v>
      </c>
      <c r="C114" s="44" t="s">
        <v>122</v>
      </c>
      <c r="D114" s="39" t="s">
        <v>123</v>
      </c>
      <c r="E114" s="40" t="s">
        <v>124</v>
      </c>
      <c r="F114" s="41"/>
      <c r="G114" s="42" t="str">
        <f t="shared" si="1"/>
        <v>Por favor seleccionar tipo de funcionalidad</v>
      </c>
      <c r="H114" s="41"/>
      <c r="I114" s="41"/>
      <c r="J114" s="41"/>
      <c r="K114" s="43">
        <f t="shared" si="4"/>
        <v>0</v>
      </c>
      <c r="L114" s="37"/>
      <c r="M114" s="37"/>
      <c r="N114" s="37"/>
      <c r="O114" s="37"/>
      <c r="P114" s="37"/>
      <c r="Q114" s="37"/>
      <c r="R114" s="37"/>
      <c r="S114" s="37"/>
      <c r="T114" s="37"/>
      <c r="U114" s="37"/>
      <c r="V114" s="37"/>
      <c r="W114" s="37"/>
      <c r="X114" s="37"/>
      <c r="Y114" s="37"/>
      <c r="Z114" s="37"/>
    </row>
    <row r="115" ht="15.75" customHeight="1">
      <c r="A115" s="37"/>
      <c r="B115" s="11" t="s">
        <v>15</v>
      </c>
      <c r="C115" s="44" t="s">
        <v>125</v>
      </c>
      <c r="D115" s="39" t="s">
        <v>126</v>
      </c>
      <c r="E115" s="20"/>
      <c r="F115" s="41"/>
      <c r="G115" s="42" t="str">
        <f t="shared" si="1"/>
        <v>Por favor seleccionar tipo de funcionalidad</v>
      </c>
      <c r="H115" s="41"/>
      <c r="I115" s="41"/>
      <c r="J115" s="41"/>
      <c r="K115" s="43">
        <f t="shared" si="4"/>
        <v>0</v>
      </c>
      <c r="L115" s="37"/>
      <c r="M115" s="37"/>
      <c r="N115" s="37"/>
      <c r="O115" s="37"/>
      <c r="P115" s="37"/>
      <c r="Q115" s="37"/>
      <c r="R115" s="37"/>
      <c r="S115" s="37"/>
      <c r="T115" s="37"/>
      <c r="U115" s="37"/>
      <c r="V115" s="37"/>
      <c r="W115" s="37"/>
      <c r="X115" s="37"/>
      <c r="Y115" s="37"/>
      <c r="Z115" s="37"/>
    </row>
    <row r="116" ht="15.75" customHeight="1">
      <c r="A116" s="37"/>
      <c r="B116" s="11" t="s">
        <v>15</v>
      </c>
      <c r="C116" s="44" t="s">
        <v>127</v>
      </c>
      <c r="D116" s="39" t="s">
        <v>128</v>
      </c>
      <c r="E116" s="20"/>
      <c r="F116" s="41"/>
      <c r="G116" s="42" t="str">
        <f t="shared" si="1"/>
        <v>Por favor seleccionar tipo de funcionalidad</v>
      </c>
      <c r="H116" s="41"/>
      <c r="I116" s="41"/>
      <c r="J116" s="41"/>
      <c r="K116" s="43">
        <f t="shared" si="4"/>
        <v>0</v>
      </c>
      <c r="L116" s="37"/>
      <c r="M116" s="37"/>
      <c r="N116" s="37"/>
      <c r="O116" s="37"/>
      <c r="P116" s="37"/>
      <c r="Q116" s="37"/>
      <c r="R116" s="37"/>
      <c r="S116" s="37"/>
      <c r="T116" s="37"/>
      <c r="U116" s="37"/>
      <c r="V116" s="37"/>
      <c r="W116" s="37"/>
      <c r="X116" s="37"/>
      <c r="Y116" s="37"/>
      <c r="Z116" s="37"/>
    </row>
    <row r="117" ht="15.75" customHeight="1">
      <c r="A117" s="37"/>
      <c r="B117" s="11" t="s">
        <v>15</v>
      </c>
      <c r="C117" s="44" t="s">
        <v>127</v>
      </c>
      <c r="D117" s="39" t="s">
        <v>129</v>
      </c>
      <c r="E117" s="20"/>
      <c r="F117" s="41"/>
      <c r="G117" s="42" t="str">
        <f t="shared" si="1"/>
        <v>Por favor seleccionar tipo de funcionalidad</v>
      </c>
      <c r="H117" s="41"/>
      <c r="I117" s="41"/>
      <c r="J117" s="41"/>
      <c r="K117" s="43">
        <f t="shared" si="4"/>
        <v>0</v>
      </c>
      <c r="L117" s="37"/>
      <c r="M117" s="37"/>
      <c r="N117" s="37"/>
      <c r="O117" s="37"/>
      <c r="P117" s="37"/>
      <c r="Q117" s="37"/>
      <c r="R117" s="37"/>
      <c r="S117" s="37"/>
      <c r="T117" s="37"/>
      <c r="U117" s="37"/>
      <c r="V117" s="37"/>
      <c r="W117" s="37"/>
      <c r="X117" s="37"/>
      <c r="Y117" s="37"/>
      <c r="Z117" s="37"/>
    </row>
    <row r="118" ht="15.75" customHeight="1">
      <c r="A118" s="37"/>
      <c r="B118" s="11" t="s">
        <v>15</v>
      </c>
      <c r="C118" s="44" t="s">
        <v>127</v>
      </c>
      <c r="D118" s="39" t="s">
        <v>130</v>
      </c>
      <c r="E118" s="20"/>
      <c r="F118" s="41"/>
      <c r="G118" s="42" t="str">
        <f t="shared" si="1"/>
        <v>Por favor seleccionar tipo de funcionalidad</v>
      </c>
      <c r="H118" s="41"/>
      <c r="I118" s="41"/>
      <c r="J118" s="41"/>
      <c r="K118" s="43">
        <f t="shared" si="4"/>
        <v>0</v>
      </c>
      <c r="L118" s="37"/>
      <c r="M118" s="37"/>
      <c r="N118" s="37"/>
      <c r="O118" s="37"/>
      <c r="P118" s="37"/>
      <c r="Q118" s="37"/>
      <c r="R118" s="37"/>
      <c r="S118" s="37"/>
      <c r="T118" s="37"/>
      <c r="U118" s="37"/>
      <c r="V118" s="37"/>
      <c r="W118" s="37"/>
      <c r="X118" s="37"/>
      <c r="Y118" s="37"/>
      <c r="Z118" s="37"/>
    </row>
    <row r="119" ht="15.75" customHeight="1">
      <c r="A119" s="37"/>
      <c r="B119" s="11" t="s">
        <v>15</v>
      </c>
      <c r="C119" s="44" t="s">
        <v>127</v>
      </c>
      <c r="D119" s="39" t="s">
        <v>131</v>
      </c>
      <c r="E119" s="24"/>
      <c r="F119" s="41"/>
      <c r="G119" s="42" t="str">
        <f t="shared" si="1"/>
        <v>Por favor seleccionar tipo de funcionalidad</v>
      </c>
      <c r="H119" s="41"/>
      <c r="I119" s="41"/>
      <c r="J119" s="41"/>
      <c r="K119" s="43">
        <f t="shared" si="4"/>
        <v>0</v>
      </c>
      <c r="L119" s="37"/>
      <c r="M119" s="37"/>
      <c r="N119" s="37"/>
      <c r="O119" s="37"/>
      <c r="P119" s="37"/>
      <c r="Q119" s="37"/>
      <c r="R119" s="37"/>
      <c r="S119" s="37"/>
      <c r="T119" s="37"/>
      <c r="U119" s="37"/>
      <c r="V119" s="37"/>
      <c r="W119" s="37"/>
      <c r="X119" s="37"/>
      <c r="Y119" s="37"/>
      <c r="Z119" s="37"/>
    </row>
    <row r="120" ht="15.75" customHeight="1">
      <c r="A120" s="37"/>
      <c r="B120" s="11" t="s">
        <v>15</v>
      </c>
      <c r="C120" s="44" t="s">
        <v>132</v>
      </c>
      <c r="D120" s="39" t="s">
        <v>133</v>
      </c>
      <c r="E120" s="40" t="s">
        <v>62</v>
      </c>
      <c r="F120" s="41"/>
      <c r="G120" s="42" t="str">
        <f t="shared" si="1"/>
        <v>Por favor seleccionar tipo de funcionalidad</v>
      </c>
      <c r="H120" s="41"/>
      <c r="I120" s="41"/>
      <c r="J120" s="41"/>
      <c r="K120" s="43">
        <f t="shared" si="4"/>
        <v>0</v>
      </c>
      <c r="L120" s="37"/>
      <c r="M120" s="37"/>
      <c r="N120" s="37"/>
      <c r="O120" s="37"/>
      <c r="P120" s="37"/>
      <c r="Q120" s="37"/>
      <c r="R120" s="37"/>
      <c r="S120" s="37"/>
      <c r="T120" s="37"/>
      <c r="U120" s="37"/>
      <c r="V120" s="37"/>
      <c r="W120" s="37"/>
      <c r="X120" s="37"/>
      <c r="Y120" s="37"/>
      <c r="Z120" s="37"/>
    </row>
    <row r="121" ht="15.75" customHeight="1">
      <c r="A121" s="37"/>
      <c r="B121" s="11" t="s">
        <v>15</v>
      </c>
      <c r="C121" s="44" t="s">
        <v>132</v>
      </c>
      <c r="D121" s="39" t="s">
        <v>134</v>
      </c>
      <c r="E121" s="20"/>
      <c r="F121" s="41"/>
      <c r="G121" s="42" t="str">
        <f t="shared" si="1"/>
        <v>Por favor seleccionar tipo de funcionalidad</v>
      </c>
      <c r="H121" s="41"/>
      <c r="I121" s="41"/>
      <c r="J121" s="41"/>
      <c r="K121" s="43">
        <f t="shared" si="4"/>
        <v>0</v>
      </c>
      <c r="L121" s="37"/>
      <c r="M121" s="37"/>
      <c r="N121" s="37"/>
      <c r="O121" s="37"/>
      <c r="P121" s="37"/>
      <c r="Q121" s="37"/>
      <c r="R121" s="37"/>
      <c r="S121" s="37"/>
      <c r="T121" s="37"/>
      <c r="U121" s="37"/>
      <c r="V121" s="37"/>
      <c r="W121" s="37"/>
      <c r="X121" s="37"/>
      <c r="Y121" s="37"/>
      <c r="Z121" s="37"/>
    </row>
    <row r="122" ht="15.75" customHeight="1">
      <c r="A122" s="37"/>
      <c r="B122" s="11" t="s">
        <v>15</v>
      </c>
      <c r="C122" s="44" t="s">
        <v>132</v>
      </c>
      <c r="D122" s="50" t="s">
        <v>135</v>
      </c>
      <c r="E122" s="20"/>
      <c r="F122" s="41"/>
      <c r="G122" s="42" t="str">
        <f t="shared" si="1"/>
        <v>Por favor seleccionar tipo de funcionalidad</v>
      </c>
      <c r="H122" s="41"/>
      <c r="I122" s="41"/>
      <c r="J122" s="41"/>
      <c r="K122" s="43">
        <f t="shared" si="4"/>
        <v>0</v>
      </c>
      <c r="L122" s="37"/>
      <c r="M122" s="37"/>
      <c r="N122" s="37"/>
      <c r="O122" s="37"/>
      <c r="P122" s="37"/>
      <c r="Q122" s="37"/>
      <c r="R122" s="37"/>
      <c r="S122" s="37"/>
      <c r="T122" s="37"/>
      <c r="U122" s="37"/>
      <c r="V122" s="37"/>
      <c r="W122" s="37"/>
      <c r="X122" s="37"/>
      <c r="Y122" s="37"/>
      <c r="Z122" s="37"/>
    </row>
    <row r="123" ht="15.75" customHeight="1">
      <c r="A123" s="37"/>
      <c r="B123" s="11" t="s">
        <v>15</v>
      </c>
      <c r="C123" s="44" t="s">
        <v>132</v>
      </c>
      <c r="D123" s="44" t="s">
        <v>136</v>
      </c>
      <c r="E123" s="20"/>
      <c r="F123" s="41"/>
      <c r="G123" s="42" t="str">
        <f t="shared" si="1"/>
        <v>Por favor seleccionar tipo de funcionalidad</v>
      </c>
      <c r="H123" s="41"/>
      <c r="I123" s="41"/>
      <c r="J123" s="41"/>
      <c r="K123" s="43">
        <f t="shared" si="4"/>
        <v>0</v>
      </c>
      <c r="L123" s="37"/>
      <c r="M123" s="37"/>
      <c r="N123" s="37"/>
      <c r="O123" s="37"/>
      <c r="P123" s="37"/>
      <c r="Q123" s="37"/>
      <c r="R123" s="37"/>
      <c r="S123" s="37"/>
      <c r="T123" s="37"/>
      <c r="U123" s="37"/>
      <c r="V123" s="37"/>
      <c r="W123" s="37"/>
      <c r="X123" s="37"/>
      <c r="Y123" s="37"/>
      <c r="Z123" s="37"/>
    </row>
    <row r="124" ht="45.0" customHeight="1">
      <c r="A124" s="37"/>
      <c r="B124" s="11" t="s">
        <v>15</v>
      </c>
      <c r="C124" s="44" t="s">
        <v>132</v>
      </c>
      <c r="D124" s="39" t="s">
        <v>137</v>
      </c>
      <c r="E124" s="24"/>
      <c r="F124" s="41"/>
      <c r="G124" s="42" t="str">
        <f t="shared" si="1"/>
        <v>Por favor seleccionar tipo de funcionalidad</v>
      </c>
      <c r="H124" s="41"/>
      <c r="I124" s="41"/>
      <c r="J124" s="41"/>
      <c r="K124" s="43">
        <f t="shared" si="4"/>
        <v>0</v>
      </c>
      <c r="L124" s="37"/>
      <c r="M124" s="37"/>
      <c r="N124" s="37"/>
      <c r="O124" s="37"/>
      <c r="P124" s="37"/>
      <c r="Q124" s="37"/>
      <c r="R124" s="37"/>
      <c r="S124" s="37"/>
      <c r="T124" s="37"/>
      <c r="U124" s="37"/>
      <c r="V124" s="37"/>
      <c r="W124" s="37"/>
      <c r="X124" s="37"/>
      <c r="Y124" s="37"/>
      <c r="Z124" s="37"/>
    </row>
    <row r="125" ht="141.0" customHeight="1">
      <c r="A125" s="37"/>
      <c r="B125" s="11" t="s">
        <v>15</v>
      </c>
      <c r="C125" s="44" t="s">
        <v>138</v>
      </c>
      <c r="D125" s="39" t="s">
        <v>139</v>
      </c>
      <c r="E125" s="40" t="s">
        <v>110</v>
      </c>
      <c r="F125" s="41"/>
      <c r="G125" s="42" t="str">
        <f t="shared" si="1"/>
        <v>Por favor seleccionar tipo de funcionalidad</v>
      </c>
      <c r="H125" s="41"/>
      <c r="I125" s="41"/>
      <c r="J125" s="41"/>
      <c r="K125" s="43">
        <f t="shared" si="4"/>
        <v>0</v>
      </c>
      <c r="L125" s="37"/>
      <c r="M125" s="37"/>
      <c r="N125" s="37"/>
      <c r="O125" s="37"/>
      <c r="P125" s="37"/>
      <c r="Q125" s="37"/>
      <c r="R125" s="37"/>
      <c r="S125" s="37"/>
      <c r="T125" s="37"/>
      <c r="U125" s="37"/>
      <c r="V125" s="37"/>
      <c r="W125" s="37"/>
      <c r="X125" s="37"/>
      <c r="Y125" s="37"/>
      <c r="Z125" s="37"/>
    </row>
    <row r="126" ht="45.0" customHeight="1">
      <c r="A126" s="37"/>
      <c r="B126" s="11" t="s">
        <v>15</v>
      </c>
      <c r="C126" s="44" t="s">
        <v>140</v>
      </c>
      <c r="D126" s="39" t="s">
        <v>141</v>
      </c>
      <c r="E126" s="20"/>
      <c r="F126" s="41"/>
      <c r="G126" s="42" t="str">
        <f t="shared" si="1"/>
        <v>Por favor seleccionar tipo de funcionalidad</v>
      </c>
      <c r="H126" s="41"/>
      <c r="I126" s="41"/>
      <c r="J126" s="41"/>
      <c r="K126" s="43">
        <f t="shared" si="4"/>
        <v>0</v>
      </c>
      <c r="L126" s="37"/>
      <c r="M126" s="37"/>
      <c r="N126" s="37"/>
      <c r="O126" s="37"/>
      <c r="P126" s="37"/>
      <c r="Q126" s="37"/>
      <c r="R126" s="37"/>
      <c r="S126" s="37"/>
      <c r="T126" s="37"/>
      <c r="U126" s="37"/>
      <c r="V126" s="37"/>
      <c r="W126" s="37"/>
      <c r="X126" s="37"/>
      <c r="Y126" s="37"/>
      <c r="Z126" s="37"/>
    </row>
    <row r="127" ht="45.0" customHeight="1">
      <c r="A127" s="37"/>
      <c r="B127" s="11" t="s">
        <v>15</v>
      </c>
      <c r="C127" s="44" t="s">
        <v>140</v>
      </c>
      <c r="D127" s="39" t="s">
        <v>142</v>
      </c>
      <c r="E127" s="20"/>
      <c r="F127" s="41"/>
      <c r="G127" s="42" t="str">
        <f t="shared" si="1"/>
        <v>Por favor seleccionar tipo de funcionalidad</v>
      </c>
      <c r="H127" s="41"/>
      <c r="I127" s="41"/>
      <c r="J127" s="41"/>
      <c r="K127" s="43">
        <f t="shared" si="4"/>
        <v>0</v>
      </c>
      <c r="L127" s="37"/>
      <c r="M127" s="37"/>
      <c r="N127" s="37"/>
      <c r="O127" s="37"/>
      <c r="P127" s="37"/>
      <c r="Q127" s="37"/>
      <c r="R127" s="37"/>
      <c r="S127" s="37"/>
      <c r="T127" s="37"/>
      <c r="U127" s="37"/>
      <c r="V127" s="37"/>
      <c r="W127" s="37"/>
      <c r="X127" s="37"/>
      <c r="Y127" s="37"/>
      <c r="Z127" s="37"/>
    </row>
    <row r="128" ht="153.75" customHeight="1">
      <c r="A128" s="37"/>
      <c r="B128" s="11" t="s">
        <v>15</v>
      </c>
      <c r="C128" s="44" t="s">
        <v>140</v>
      </c>
      <c r="D128" s="39" t="s">
        <v>143</v>
      </c>
      <c r="E128" s="20"/>
      <c r="F128" s="41"/>
      <c r="G128" s="42" t="str">
        <f t="shared" si="1"/>
        <v>Por favor seleccionar tipo de funcionalidad</v>
      </c>
      <c r="H128" s="41"/>
      <c r="I128" s="41"/>
      <c r="J128" s="41"/>
      <c r="K128" s="43">
        <f t="shared" si="4"/>
        <v>0</v>
      </c>
      <c r="L128" s="37"/>
      <c r="M128" s="37"/>
      <c r="N128" s="37"/>
      <c r="O128" s="37"/>
      <c r="P128" s="37"/>
      <c r="Q128" s="37"/>
      <c r="R128" s="37"/>
      <c r="S128" s="37"/>
      <c r="T128" s="37"/>
      <c r="U128" s="37"/>
      <c r="V128" s="37"/>
      <c r="W128" s="37"/>
      <c r="X128" s="37"/>
      <c r="Y128" s="37"/>
      <c r="Z128" s="37"/>
    </row>
    <row r="129" ht="15.75" customHeight="1">
      <c r="A129" s="51"/>
      <c r="B129" s="11" t="s">
        <v>15</v>
      </c>
      <c r="C129" s="44" t="s">
        <v>140</v>
      </c>
      <c r="D129" s="39" t="s">
        <v>144</v>
      </c>
      <c r="E129" s="20"/>
      <c r="F129" s="41"/>
      <c r="G129" s="42" t="str">
        <f t="shared" si="1"/>
        <v>Por favor seleccionar tipo de funcionalidad</v>
      </c>
      <c r="H129" s="41"/>
      <c r="I129" s="41"/>
      <c r="J129" s="41"/>
      <c r="K129" s="43">
        <f t="shared" si="4"/>
        <v>0</v>
      </c>
      <c r="L129" s="51"/>
      <c r="M129" s="51"/>
      <c r="N129" s="51"/>
      <c r="O129" s="51"/>
      <c r="P129" s="51"/>
      <c r="Q129" s="51"/>
      <c r="R129" s="51"/>
      <c r="S129" s="51"/>
      <c r="T129" s="51"/>
      <c r="U129" s="51"/>
      <c r="V129" s="51"/>
      <c r="W129" s="51"/>
      <c r="X129" s="51"/>
      <c r="Y129" s="51"/>
      <c r="Z129" s="51"/>
    </row>
    <row r="130" ht="15.75" customHeight="1">
      <c r="A130" s="51"/>
      <c r="B130" s="11" t="s">
        <v>15</v>
      </c>
      <c r="C130" s="44" t="s">
        <v>140</v>
      </c>
      <c r="D130" s="39" t="s">
        <v>145</v>
      </c>
      <c r="E130" s="20"/>
      <c r="F130" s="41"/>
      <c r="G130" s="42" t="str">
        <f t="shared" si="1"/>
        <v>Por favor seleccionar tipo de funcionalidad</v>
      </c>
      <c r="H130" s="41"/>
      <c r="I130" s="41"/>
      <c r="J130" s="41"/>
      <c r="K130" s="43">
        <f t="shared" si="4"/>
        <v>0</v>
      </c>
      <c r="L130" s="51"/>
      <c r="M130" s="51"/>
      <c r="N130" s="51"/>
      <c r="O130" s="51"/>
      <c r="P130" s="51"/>
      <c r="Q130" s="51"/>
      <c r="R130" s="51"/>
      <c r="S130" s="51"/>
      <c r="T130" s="51"/>
      <c r="U130" s="51"/>
      <c r="V130" s="51"/>
      <c r="W130" s="51"/>
      <c r="X130" s="51"/>
      <c r="Y130" s="51"/>
      <c r="Z130" s="51"/>
    </row>
    <row r="131" ht="15.75" customHeight="1">
      <c r="A131" s="51"/>
      <c r="B131" s="11" t="s">
        <v>15</v>
      </c>
      <c r="C131" s="44" t="s">
        <v>146</v>
      </c>
      <c r="D131" s="39" t="s">
        <v>147</v>
      </c>
      <c r="E131" s="20"/>
      <c r="F131" s="41"/>
      <c r="G131" s="42" t="str">
        <f t="shared" si="1"/>
        <v>Por favor seleccionar tipo de funcionalidad</v>
      </c>
      <c r="H131" s="41"/>
      <c r="I131" s="41"/>
      <c r="J131" s="41"/>
      <c r="K131" s="43">
        <f t="shared" si="4"/>
        <v>0</v>
      </c>
      <c r="L131" s="51"/>
      <c r="M131" s="51"/>
      <c r="N131" s="51"/>
      <c r="O131" s="51"/>
      <c r="P131" s="51"/>
      <c r="Q131" s="51"/>
      <c r="R131" s="51"/>
      <c r="S131" s="51"/>
      <c r="T131" s="51"/>
      <c r="U131" s="51"/>
      <c r="V131" s="51"/>
      <c r="W131" s="51"/>
      <c r="X131" s="51"/>
      <c r="Y131" s="51"/>
      <c r="Z131" s="51"/>
    </row>
    <row r="132" ht="15.75" customHeight="1">
      <c r="A132" s="51"/>
      <c r="B132" s="11" t="s">
        <v>15</v>
      </c>
      <c r="C132" s="44" t="s">
        <v>146</v>
      </c>
      <c r="D132" s="39" t="s">
        <v>148</v>
      </c>
      <c r="E132" s="20"/>
      <c r="F132" s="41"/>
      <c r="G132" s="42" t="str">
        <f t="shared" si="1"/>
        <v>Por favor seleccionar tipo de funcionalidad</v>
      </c>
      <c r="H132" s="41"/>
      <c r="I132" s="41"/>
      <c r="J132" s="41"/>
      <c r="K132" s="43">
        <f t="shared" si="4"/>
        <v>0</v>
      </c>
      <c r="L132" s="51"/>
      <c r="M132" s="51"/>
      <c r="N132" s="51"/>
      <c r="O132" s="51"/>
      <c r="P132" s="51"/>
      <c r="Q132" s="51"/>
      <c r="R132" s="51"/>
      <c r="S132" s="51"/>
      <c r="T132" s="51"/>
      <c r="U132" s="51"/>
      <c r="V132" s="51"/>
      <c r="W132" s="51"/>
      <c r="X132" s="51"/>
      <c r="Y132" s="51"/>
      <c r="Z132" s="51"/>
    </row>
    <row r="133" ht="15.75" customHeight="1">
      <c r="A133" s="51"/>
      <c r="B133" s="11" t="s">
        <v>15</v>
      </c>
      <c r="C133" s="44" t="s">
        <v>146</v>
      </c>
      <c r="D133" s="39" t="s">
        <v>149</v>
      </c>
      <c r="E133" s="20"/>
      <c r="F133" s="41"/>
      <c r="G133" s="42" t="str">
        <f t="shared" si="1"/>
        <v>Por favor seleccionar tipo de funcionalidad</v>
      </c>
      <c r="H133" s="41"/>
      <c r="I133" s="41"/>
      <c r="J133" s="41"/>
      <c r="K133" s="43">
        <f t="shared" si="4"/>
        <v>0</v>
      </c>
      <c r="L133" s="51"/>
      <c r="M133" s="51"/>
      <c r="N133" s="51"/>
      <c r="O133" s="51"/>
      <c r="P133" s="51"/>
      <c r="Q133" s="51"/>
      <c r="R133" s="51"/>
      <c r="S133" s="51"/>
      <c r="T133" s="51"/>
      <c r="U133" s="51"/>
      <c r="V133" s="51"/>
      <c r="W133" s="51"/>
      <c r="X133" s="51"/>
      <c r="Y133" s="51"/>
      <c r="Z133" s="51"/>
    </row>
    <row r="134" ht="15.75" customHeight="1">
      <c r="A134" s="51"/>
      <c r="B134" s="11" t="s">
        <v>15</v>
      </c>
      <c r="C134" s="44" t="s">
        <v>150</v>
      </c>
      <c r="D134" s="39" t="s">
        <v>151</v>
      </c>
      <c r="E134" s="24"/>
      <c r="F134" s="41"/>
      <c r="G134" s="42" t="str">
        <f t="shared" si="1"/>
        <v>Por favor seleccionar tipo de funcionalidad</v>
      </c>
      <c r="H134" s="41"/>
      <c r="I134" s="41"/>
      <c r="J134" s="41"/>
      <c r="K134" s="43">
        <f t="shared" si="4"/>
        <v>0</v>
      </c>
      <c r="L134" s="51"/>
      <c r="M134" s="51"/>
      <c r="N134" s="51"/>
      <c r="O134" s="51"/>
      <c r="P134" s="51"/>
      <c r="Q134" s="51"/>
      <c r="R134" s="51"/>
      <c r="S134" s="51"/>
      <c r="T134" s="51"/>
      <c r="U134" s="51"/>
      <c r="V134" s="51"/>
      <c r="W134" s="51"/>
      <c r="X134" s="51"/>
      <c r="Y134" s="51"/>
      <c r="Z134" s="51"/>
    </row>
    <row r="135" ht="15.75" customHeight="1">
      <c r="A135" s="51"/>
      <c r="B135" s="11" t="s">
        <v>15</v>
      </c>
      <c r="C135" s="44" t="s">
        <v>150</v>
      </c>
      <c r="D135" s="39" t="s">
        <v>152</v>
      </c>
      <c r="E135" s="39"/>
      <c r="F135" s="41"/>
      <c r="G135" s="42" t="str">
        <f t="shared" si="1"/>
        <v>Por favor seleccionar tipo de funcionalidad</v>
      </c>
      <c r="H135" s="41"/>
      <c r="I135" s="41"/>
      <c r="J135" s="41"/>
      <c r="K135" s="43">
        <f t="shared" si="4"/>
        <v>0</v>
      </c>
      <c r="L135" s="51"/>
      <c r="M135" s="51"/>
      <c r="N135" s="51"/>
      <c r="O135" s="51"/>
      <c r="P135" s="51"/>
      <c r="Q135" s="51"/>
      <c r="R135" s="51"/>
      <c r="S135" s="51"/>
      <c r="T135" s="51"/>
      <c r="U135" s="51"/>
      <c r="V135" s="51"/>
      <c r="W135" s="51"/>
      <c r="X135" s="51"/>
      <c r="Y135" s="51"/>
      <c r="Z135" s="51"/>
    </row>
    <row r="136" ht="15.75" customHeight="1">
      <c r="A136" s="51"/>
      <c r="B136" s="11" t="s">
        <v>15</v>
      </c>
      <c r="C136" s="44" t="s">
        <v>153</v>
      </c>
      <c r="D136" s="39" t="s">
        <v>154</v>
      </c>
      <c r="E136" s="39"/>
      <c r="F136" s="41"/>
      <c r="G136" s="42" t="str">
        <f t="shared" si="1"/>
        <v>Por favor seleccionar tipo de funcionalidad</v>
      </c>
      <c r="H136" s="41"/>
      <c r="I136" s="41"/>
      <c r="J136" s="41"/>
      <c r="K136" s="43">
        <f t="shared" si="4"/>
        <v>0</v>
      </c>
      <c r="L136" s="51"/>
      <c r="M136" s="51"/>
      <c r="N136" s="51"/>
      <c r="O136" s="51"/>
      <c r="P136" s="51"/>
      <c r="Q136" s="51"/>
      <c r="R136" s="51"/>
      <c r="S136" s="51"/>
      <c r="T136" s="51"/>
      <c r="U136" s="51"/>
      <c r="V136" s="51"/>
      <c r="W136" s="51"/>
      <c r="X136" s="51"/>
      <c r="Y136" s="51"/>
      <c r="Z136" s="51"/>
    </row>
    <row r="137" ht="15.75" customHeight="1">
      <c r="A137" s="51"/>
      <c r="B137" s="11" t="s">
        <v>15</v>
      </c>
      <c r="C137" s="44" t="s">
        <v>155</v>
      </c>
      <c r="D137" s="39" t="s">
        <v>156</v>
      </c>
      <c r="E137" s="40" t="s">
        <v>110</v>
      </c>
      <c r="F137" s="41"/>
      <c r="G137" s="42" t="str">
        <f t="shared" si="1"/>
        <v>Por favor seleccionar tipo de funcionalidad</v>
      </c>
      <c r="H137" s="41"/>
      <c r="I137" s="41"/>
      <c r="J137" s="41"/>
      <c r="K137" s="43">
        <f t="shared" si="4"/>
        <v>0</v>
      </c>
      <c r="L137" s="51"/>
      <c r="M137" s="51"/>
      <c r="N137" s="51"/>
      <c r="O137" s="51"/>
      <c r="P137" s="51"/>
      <c r="Q137" s="51"/>
      <c r="R137" s="51"/>
      <c r="S137" s="51"/>
      <c r="T137" s="51"/>
      <c r="U137" s="51"/>
      <c r="V137" s="51"/>
      <c r="W137" s="51"/>
      <c r="X137" s="51"/>
      <c r="Y137" s="51"/>
      <c r="Z137" s="51"/>
    </row>
    <row r="138" ht="15.75" customHeight="1">
      <c r="A138" s="51"/>
      <c r="B138" s="11" t="s">
        <v>15</v>
      </c>
      <c r="C138" s="52" t="s">
        <v>155</v>
      </c>
      <c r="D138" s="39" t="s">
        <v>157</v>
      </c>
      <c r="E138" s="20"/>
      <c r="F138" s="41"/>
      <c r="G138" s="42" t="str">
        <f t="shared" si="1"/>
        <v>Por favor seleccionar tipo de funcionalidad</v>
      </c>
      <c r="H138" s="41"/>
      <c r="I138" s="41"/>
      <c r="J138" s="41"/>
      <c r="K138" s="43">
        <f t="shared" si="4"/>
        <v>0</v>
      </c>
      <c r="L138" s="51"/>
      <c r="M138" s="51"/>
      <c r="N138" s="51"/>
      <c r="O138" s="51"/>
      <c r="P138" s="51"/>
      <c r="Q138" s="51"/>
      <c r="R138" s="51"/>
      <c r="S138" s="51"/>
      <c r="T138" s="51"/>
      <c r="U138" s="51"/>
      <c r="V138" s="51"/>
      <c r="W138" s="51"/>
      <c r="X138" s="51"/>
      <c r="Y138" s="51"/>
      <c r="Z138" s="51"/>
    </row>
    <row r="139" ht="15.75" customHeight="1">
      <c r="A139" s="51"/>
      <c r="B139" s="11" t="s">
        <v>15</v>
      </c>
      <c r="C139" s="44" t="s">
        <v>155</v>
      </c>
      <c r="D139" s="39" t="s">
        <v>158</v>
      </c>
      <c r="E139" s="20"/>
      <c r="F139" s="41"/>
      <c r="G139" s="42" t="str">
        <f t="shared" si="1"/>
        <v>Por favor seleccionar tipo de funcionalidad</v>
      </c>
      <c r="H139" s="41"/>
      <c r="I139" s="41"/>
      <c r="J139" s="41"/>
      <c r="K139" s="43">
        <f t="shared" si="4"/>
        <v>0</v>
      </c>
      <c r="L139" s="51"/>
      <c r="M139" s="51"/>
      <c r="N139" s="51"/>
      <c r="O139" s="51"/>
      <c r="P139" s="51"/>
      <c r="Q139" s="51"/>
      <c r="R139" s="51"/>
      <c r="S139" s="51"/>
      <c r="T139" s="51"/>
      <c r="U139" s="51"/>
      <c r="V139" s="51"/>
      <c r="W139" s="51"/>
      <c r="X139" s="51"/>
      <c r="Y139" s="51"/>
      <c r="Z139" s="51"/>
    </row>
    <row r="140" ht="15.75" customHeight="1">
      <c r="A140" s="51"/>
      <c r="B140" s="11" t="s">
        <v>15</v>
      </c>
      <c r="C140" s="44" t="s">
        <v>155</v>
      </c>
      <c r="D140" s="39" t="s">
        <v>159</v>
      </c>
      <c r="E140" s="20"/>
      <c r="F140" s="41"/>
      <c r="G140" s="42" t="str">
        <f t="shared" si="1"/>
        <v>Por favor seleccionar tipo de funcionalidad</v>
      </c>
      <c r="H140" s="41"/>
      <c r="I140" s="41"/>
      <c r="J140" s="41"/>
      <c r="K140" s="43">
        <f t="shared" si="4"/>
        <v>0</v>
      </c>
      <c r="L140" s="51"/>
      <c r="M140" s="51"/>
      <c r="N140" s="51"/>
      <c r="O140" s="51"/>
      <c r="P140" s="51"/>
      <c r="Q140" s="51"/>
      <c r="R140" s="51"/>
      <c r="S140" s="51"/>
      <c r="T140" s="51"/>
      <c r="U140" s="51"/>
      <c r="V140" s="51"/>
      <c r="W140" s="51"/>
      <c r="X140" s="51"/>
      <c r="Y140" s="51"/>
      <c r="Z140" s="51"/>
    </row>
    <row r="141" ht="15.75" customHeight="1">
      <c r="A141" s="51"/>
      <c r="B141" s="11" t="s">
        <v>15</v>
      </c>
      <c r="C141" s="44" t="s">
        <v>155</v>
      </c>
      <c r="D141" s="39" t="s">
        <v>160</v>
      </c>
      <c r="E141" s="20"/>
      <c r="F141" s="41"/>
      <c r="G141" s="42" t="str">
        <f t="shared" si="1"/>
        <v>Por favor seleccionar tipo de funcionalidad</v>
      </c>
      <c r="H141" s="41"/>
      <c r="I141" s="41"/>
      <c r="J141" s="41"/>
      <c r="K141" s="43">
        <f t="shared" si="4"/>
        <v>0</v>
      </c>
      <c r="L141" s="51"/>
      <c r="M141" s="51"/>
      <c r="N141" s="51"/>
      <c r="O141" s="51"/>
      <c r="P141" s="51"/>
      <c r="Q141" s="51"/>
      <c r="R141" s="51"/>
      <c r="S141" s="51"/>
      <c r="T141" s="51"/>
      <c r="U141" s="51"/>
      <c r="V141" s="51"/>
      <c r="W141" s="51"/>
      <c r="X141" s="51"/>
      <c r="Y141" s="51"/>
      <c r="Z141" s="51"/>
    </row>
    <row r="142" ht="15.75" customHeight="1">
      <c r="A142" s="51"/>
      <c r="B142" s="11" t="s">
        <v>15</v>
      </c>
      <c r="C142" s="44" t="s">
        <v>155</v>
      </c>
      <c r="D142" s="39" t="s">
        <v>161</v>
      </c>
      <c r="E142" s="20"/>
      <c r="F142" s="41"/>
      <c r="G142" s="42" t="str">
        <f t="shared" si="1"/>
        <v>Por favor seleccionar tipo de funcionalidad</v>
      </c>
      <c r="H142" s="41"/>
      <c r="I142" s="41"/>
      <c r="J142" s="41"/>
      <c r="K142" s="43">
        <f t="shared" si="4"/>
        <v>0</v>
      </c>
      <c r="L142" s="51"/>
      <c r="M142" s="51"/>
      <c r="N142" s="51"/>
      <c r="O142" s="51"/>
      <c r="P142" s="51"/>
      <c r="Q142" s="51"/>
      <c r="R142" s="51"/>
      <c r="S142" s="51"/>
      <c r="T142" s="51"/>
      <c r="U142" s="51"/>
      <c r="V142" s="51"/>
      <c r="W142" s="51"/>
      <c r="X142" s="51"/>
      <c r="Y142" s="51"/>
      <c r="Z142" s="51"/>
    </row>
    <row r="143" ht="15.75" customHeight="1">
      <c r="A143" s="51"/>
      <c r="B143" s="11" t="s">
        <v>15</v>
      </c>
      <c r="C143" s="44" t="s">
        <v>155</v>
      </c>
      <c r="D143" s="39" t="s">
        <v>162</v>
      </c>
      <c r="E143" s="20"/>
      <c r="F143" s="41"/>
      <c r="G143" s="42" t="str">
        <f t="shared" si="1"/>
        <v>Por favor seleccionar tipo de funcionalidad</v>
      </c>
      <c r="H143" s="41"/>
      <c r="I143" s="41"/>
      <c r="J143" s="41"/>
      <c r="K143" s="43">
        <f t="shared" si="4"/>
        <v>0</v>
      </c>
      <c r="L143" s="51"/>
      <c r="M143" s="51"/>
      <c r="N143" s="51"/>
      <c r="O143" s="51"/>
      <c r="P143" s="51"/>
      <c r="Q143" s="51"/>
      <c r="R143" s="51"/>
      <c r="S143" s="51"/>
      <c r="T143" s="51"/>
      <c r="U143" s="51"/>
      <c r="V143" s="51"/>
      <c r="W143" s="51"/>
      <c r="X143" s="51"/>
      <c r="Y143" s="51"/>
      <c r="Z143" s="51"/>
    </row>
    <row r="144" ht="15.75" customHeight="1">
      <c r="A144" s="51"/>
      <c r="B144" s="11" t="s">
        <v>15</v>
      </c>
      <c r="C144" s="44" t="s">
        <v>155</v>
      </c>
      <c r="D144" s="39" t="s">
        <v>163</v>
      </c>
      <c r="E144" s="20"/>
      <c r="F144" s="41"/>
      <c r="G144" s="42" t="str">
        <f t="shared" si="1"/>
        <v>Por favor seleccionar tipo de funcionalidad</v>
      </c>
      <c r="H144" s="41"/>
      <c r="I144" s="41"/>
      <c r="J144" s="41"/>
      <c r="K144" s="43">
        <f t="shared" si="4"/>
        <v>0</v>
      </c>
      <c r="L144" s="51"/>
      <c r="M144" s="51"/>
      <c r="N144" s="51"/>
      <c r="O144" s="51"/>
      <c r="P144" s="51"/>
      <c r="Q144" s="51"/>
      <c r="R144" s="51"/>
      <c r="S144" s="51"/>
      <c r="T144" s="51"/>
      <c r="U144" s="51"/>
      <c r="V144" s="51"/>
      <c r="W144" s="51"/>
      <c r="X144" s="51"/>
      <c r="Y144" s="51"/>
      <c r="Z144" s="51"/>
    </row>
    <row r="145" ht="15.75" customHeight="1">
      <c r="A145" s="51"/>
      <c r="B145" s="11" t="s">
        <v>15</v>
      </c>
      <c r="C145" s="44" t="s">
        <v>155</v>
      </c>
      <c r="D145" s="39" t="s">
        <v>164</v>
      </c>
      <c r="E145" s="20"/>
      <c r="F145" s="41"/>
      <c r="G145" s="42" t="str">
        <f t="shared" si="1"/>
        <v>Por favor seleccionar tipo de funcionalidad</v>
      </c>
      <c r="H145" s="41"/>
      <c r="I145" s="41"/>
      <c r="J145" s="41"/>
      <c r="K145" s="43">
        <f t="shared" si="4"/>
        <v>0</v>
      </c>
      <c r="L145" s="51"/>
      <c r="M145" s="51"/>
      <c r="N145" s="51"/>
      <c r="O145" s="51"/>
      <c r="P145" s="51"/>
      <c r="Q145" s="51"/>
      <c r="R145" s="51"/>
      <c r="S145" s="51"/>
      <c r="T145" s="51"/>
      <c r="U145" s="51"/>
      <c r="V145" s="51"/>
      <c r="W145" s="51"/>
      <c r="X145" s="51"/>
      <c r="Y145" s="51"/>
      <c r="Z145" s="51"/>
    </row>
    <row r="146" ht="15.75" customHeight="1">
      <c r="A146" s="51"/>
      <c r="B146" s="11" t="s">
        <v>15</v>
      </c>
      <c r="C146" s="44" t="s">
        <v>155</v>
      </c>
      <c r="D146" s="39" t="s">
        <v>165</v>
      </c>
      <c r="E146" s="20"/>
      <c r="F146" s="41"/>
      <c r="G146" s="42" t="str">
        <f t="shared" si="1"/>
        <v>Por favor seleccionar tipo de funcionalidad</v>
      </c>
      <c r="H146" s="41"/>
      <c r="I146" s="41"/>
      <c r="J146" s="41"/>
      <c r="K146" s="43">
        <f t="shared" si="4"/>
        <v>0</v>
      </c>
      <c r="L146" s="51"/>
      <c r="M146" s="51"/>
      <c r="N146" s="51"/>
      <c r="O146" s="51"/>
      <c r="P146" s="51"/>
      <c r="Q146" s="51"/>
      <c r="R146" s="51"/>
      <c r="S146" s="51"/>
      <c r="T146" s="51"/>
      <c r="U146" s="51"/>
      <c r="V146" s="51"/>
      <c r="W146" s="51"/>
      <c r="X146" s="51"/>
      <c r="Y146" s="51"/>
      <c r="Z146" s="51"/>
    </row>
    <row r="147" ht="15.75" customHeight="1">
      <c r="A147" s="51"/>
      <c r="B147" s="11" t="s">
        <v>15</v>
      </c>
      <c r="C147" s="44" t="s">
        <v>155</v>
      </c>
      <c r="D147" s="39" t="s">
        <v>166</v>
      </c>
      <c r="E147" s="20"/>
      <c r="F147" s="41"/>
      <c r="G147" s="42" t="str">
        <f t="shared" si="1"/>
        <v>Por favor seleccionar tipo de funcionalidad</v>
      </c>
      <c r="H147" s="41"/>
      <c r="I147" s="41"/>
      <c r="J147" s="41"/>
      <c r="K147" s="43">
        <f t="shared" si="4"/>
        <v>0</v>
      </c>
      <c r="L147" s="51"/>
      <c r="M147" s="51"/>
      <c r="N147" s="51"/>
      <c r="O147" s="51"/>
      <c r="P147" s="51"/>
      <c r="Q147" s="51"/>
      <c r="R147" s="51"/>
      <c r="S147" s="51"/>
      <c r="T147" s="51"/>
      <c r="U147" s="51"/>
      <c r="V147" s="51"/>
      <c r="W147" s="51"/>
      <c r="X147" s="51"/>
      <c r="Y147" s="51"/>
      <c r="Z147" s="51"/>
    </row>
    <row r="148" ht="15.75" customHeight="1">
      <c r="A148" s="51"/>
      <c r="B148" s="11" t="s">
        <v>15</v>
      </c>
      <c r="C148" s="44" t="s">
        <v>155</v>
      </c>
      <c r="D148" s="47" t="s">
        <v>167</v>
      </c>
      <c r="E148" s="20"/>
      <c r="F148" s="41"/>
      <c r="G148" s="42" t="str">
        <f t="shared" si="1"/>
        <v>Por favor seleccionar tipo de funcionalidad</v>
      </c>
      <c r="H148" s="41"/>
      <c r="I148" s="41"/>
      <c r="J148" s="41"/>
      <c r="K148" s="43">
        <f t="shared" si="4"/>
        <v>0</v>
      </c>
      <c r="L148" s="51"/>
      <c r="M148" s="51"/>
      <c r="N148" s="51"/>
      <c r="O148" s="51"/>
      <c r="P148" s="51"/>
      <c r="Q148" s="51"/>
      <c r="R148" s="51"/>
      <c r="S148" s="51"/>
      <c r="T148" s="51"/>
      <c r="U148" s="51"/>
      <c r="V148" s="51"/>
      <c r="W148" s="51"/>
      <c r="X148" s="51"/>
      <c r="Y148" s="51"/>
      <c r="Z148" s="51"/>
    </row>
    <row r="149" ht="15.75" customHeight="1">
      <c r="A149" s="51"/>
      <c r="B149" s="11" t="s">
        <v>15</v>
      </c>
      <c r="C149" s="44" t="s">
        <v>168</v>
      </c>
      <c r="D149" s="53" t="s">
        <v>169</v>
      </c>
      <c r="E149" s="24"/>
      <c r="F149" s="41"/>
      <c r="G149" s="42" t="str">
        <f t="shared" si="1"/>
        <v>Por favor seleccionar tipo de funcionalidad</v>
      </c>
      <c r="H149" s="41"/>
      <c r="I149" s="41"/>
      <c r="J149" s="41"/>
      <c r="K149" s="43">
        <f t="shared" si="4"/>
        <v>0</v>
      </c>
      <c r="L149" s="51"/>
      <c r="M149" s="51"/>
      <c r="N149" s="51"/>
      <c r="O149" s="51"/>
      <c r="P149" s="51"/>
      <c r="Q149" s="51"/>
      <c r="R149" s="51"/>
      <c r="S149" s="51"/>
      <c r="T149" s="51"/>
      <c r="U149" s="51"/>
      <c r="V149" s="51"/>
      <c r="W149" s="51"/>
      <c r="X149" s="51"/>
      <c r="Y149" s="51"/>
      <c r="Z149" s="51"/>
    </row>
    <row r="150" ht="15.75" customHeight="1">
      <c r="A150" s="51"/>
      <c r="B150" s="11" t="s">
        <v>15</v>
      </c>
      <c r="C150" s="44" t="s">
        <v>170</v>
      </c>
      <c r="D150" s="39" t="s">
        <v>171</v>
      </c>
      <c r="E150" s="40" t="s">
        <v>172</v>
      </c>
      <c r="F150" s="41"/>
      <c r="G150" s="42" t="str">
        <f t="shared" si="1"/>
        <v>Por favor seleccionar tipo de funcionalidad</v>
      </c>
      <c r="H150" s="41"/>
      <c r="I150" s="41"/>
      <c r="J150" s="41"/>
      <c r="K150" s="43">
        <f t="shared" si="4"/>
        <v>0</v>
      </c>
      <c r="L150" s="51"/>
      <c r="M150" s="51"/>
      <c r="N150" s="51"/>
      <c r="O150" s="51"/>
      <c r="P150" s="51"/>
      <c r="Q150" s="51"/>
      <c r="R150" s="51"/>
      <c r="S150" s="51"/>
      <c r="T150" s="51"/>
      <c r="U150" s="51"/>
      <c r="V150" s="51"/>
      <c r="W150" s="51"/>
      <c r="X150" s="51"/>
      <c r="Y150" s="51"/>
      <c r="Z150" s="51"/>
    </row>
    <row r="151" ht="15.75" customHeight="1">
      <c r="A151" s="51"/>
      <c r="B151" s="11" t="s">
        <v>15</v>
      </c>
      <c r="C151" s="44" t="s">
        <v>170</v>
      </c>
      <c r="D151" s="39" t="s">
        <v>173</v>
      </c>
      <c r="E151" s="20"/>
      <c r="F151" s="41"/>
      <c r="G151" s="42" t="str">
        <f t="shared" si="1"/>
        <v>Por favor seleccionar tipo de funcionalidad</v>
      </c>
      <c r="H151" s="41"/>
      <c r="I151" s="41"/>
      <c r="J151" s="41"/>
      <c r="K151" s="43">
        <f t="shared" si="4"/>
        <v>0</v>
      </c>
      <c r="L151" s="51"/>
      <c r="M151" s="51"/>
      <c r="N151" s="51"/>
      <c r="O151" s="51"/>
      <c r="P151" s="51"/>
      <c r="Q151" s="51"/>
      <c r="R151" s="51"/>
      <c r="S151" s="51"/>
      <c r="T151" s="51"/>
      <c r="U151" s="51"/>
      <c r="V151" s="51"/>
      <c r="W151" s="51"/>
      <c r="X151" s="51"/>
      <c r="Y151" s="51"/>
      <c r="Z151" s="51"/>
    </row>
    <row r="152" ht="15.75" customHeight="1">
      <c r="A152" s="51"/>
      <c r="B152" s="11" t="s">
        <v>15</v>
      </c>
      <c r="C152" s="44" t="s">
        <v>170</v>
      </c>
      <c r="D152" s="39" t="s">
        <v>174</v>
      </c>
      <c r="E152" s="24"/>
      <c r="F152" s="41"/>
      <c r="G152" s="42" t="str">
        <f t="shared" si="1"/>
        <v>Por favor seleccionar tipo de funcionalidad</v>
      </c>
      <c r="H152" s="41"/>
      <c r="I152" s="41"/>
      <c r="J152" s="41"/>
      <c r="K152" s="43">
        <f t="shared" si="4"/>
        <v>0</v>
      </c>
      <c r="L152" s="51"/>
      <c r="M152" s="51"/>
      <c r="N152" s="51"/>
      <c r="O152" s="51"/>
      <c r="P152" s="51"/>
      <c r="Q152" s="51"/>
      <c r="R152" s="51"/>
      <c r="S152" s="51"/>
      <c r="T152" s="51"/>
      <c r="U152" s="51"/>
      <c r="V152" s="51"/>
      <c r="W152" s="51"/>
      <c r="X152" s="51"/>
      <c r="Y152" s="51"/>
      <c r="Z152" s="51"/>
    </row>
    <row r="153" ht="43.5" customHeight="1">
      <c r="A153" s="51"/>
      <c r="B153" s="11" t="s">
        <v>14</v>
      </c>
      <c r="C153" s="44" t="s">
        <v>175</v>
      </c>
      <c r="D153" s="39" t="s">
        <v>176</v>
      </c>
      <c r="E153" s="40" t="s">
        <v>177</v>
      </c>
      <c r="F153" s="41"/>
      <c r="G153" s="42" t="str">
        <f t="shared" si="1"/>
        <v>Por favor seleccionar tipo de funcionalidad</v>
      </c>
      <c r="H153" s="54"/>
      <c r="I153" s="54"/>
      <c r="J153" s="54"/>
      <c r="K153" s="55">
        <f t="shared" ref="K153:K226" si="5">+IF(G74=$C$43,$F$51,IF(G74=$C$44,$F$51*75%,IF(G74=$C$45,$F$51*50%,IF(G74=$C$46,$F$51*0%,0%))))</f>
        <v>0</v>
      </c>
      <c r="L153" s="51"/>
      <c r="M153" s="51"/>
      <c r="N153" s="51"/>
      <c r="O153" s="51"/>
      <c r="P153" s="51"/>
      <c r="Q153" s="51"/>
      <c r="R153" s="51"/>
      <c r="S153" s="51"/>
      <c r="T153" s="51"/>
      <c r="U153" s="51"/>
      <c r="V153" s="51"/>
      <c r="W153" s="51"/>
      <c r="X153" s="51"/>
      <c r="Y153" s="51"/>
      <c r="Z153" s="51"/>
    </row>
    <row r="154" ht="15.75" customHeight="1">
      <c r="A154" s="51"/>
      <c r="B154" s="11" t="s">
        <v>14</v>
      </c>
      <c r="C154" s="44" t="s">
        <v>178</v>
      </c>
      <c r="D154" s="39" t="s">
        <v>179</v>
      </c>
      <c r="E154" s="20"/>
      <c r="F154" s="41"/>
      <c r="G154" s="42" t="str">
        <f t="shared" si="1"/>
        <v>Por favor seleccionar tipo de funcionalidad</v>
      </c>
      <c r="H154" s="54"/>
      <c r="I154" s="54"/>
      <c r="J154" s="54"/>
      <c r="K154" s="55">
        <f t="shared" si="5"/>
        <v>0</v>
      </c>
      <c r="L154" s="51"/>
      <c r="M154" s="51"/>
      <c r="N154" s="51"/>
      <c r="O154" s="51"/>
      <c r="P154" s="51"/>
      <c r="Q154" s="51"/>
      <c r="R154" s="51"/>
      <c r="S154" s="51"/>
      <c r="T154" s="51"/>
      <c r="U154" s="51"/>
      <c r="V154" s="51"/>
      <c r="W154" s="51"/>
      <c r="X154" s="51"/>
      <c r="Y154" s="51"/>
      <c r="Z154" s="51"/>
    </row>
    <row r="155" ht="15.75" customHeight="1">
      <c r="A155" s="51"/>
      <c r="B155" s="11" t="s">
        <v>14</v>
      </c>
      <c r="C155" s="44" t="s">
        <v>180</v>
      </c>
      <c r="D155" s="39" t="s">
        <v>181</v>
      </c>
      <c r="E155" s="20"/>
      <c r="F155" s="41"/>
      <c r="G155" s="42" t="str">
        <f t="shared" si="1"/>
        <v>Por favor seleccionar tipo de funcionalidad</v>
      </c>
      <c r="H155" s="54"/>
      <c r="I155" s="54"/>
      <c r="J155" s="54"/>
      <c r="K155" s="55">
        <f t="shared" si="5"/>
        <v>0</v>
      </c>
      <c r="L155" s="51"/>
      <c r="M155" s="51"/>
      <c r="N155" s="51"/>
      <c r="O155" s="51"/>
      <c r="P155" s="51"/>
      <c r="Q155" s="51"/>
      <c r="R155" s="51"/>
      <c r="S155" s="51"/>
      <c r="T155" s="51"/>
      <c r="U155" s="51"/>
      <c r="V155" s="51"/>
      <c r="W155" s="51"/>
      <c r="X155" s="51"/>
      <c r="Y155" s="51"/>
      <c r="Z155" s="51"/>
    </row>
    <row r="156" ht="15.75" customHeight="1">
      <c r="A156" s="51"/>
      <c r="B156" s="11" t="s">
        <v>14</v>
      </c>
      <c r="C156" s="44" t="s">
        <v>182</v>
      </c>
      <c r="D156" s="39" t="s">
        <v>183</v>
      </c>
      <c r="E156" s="20"/>
      <c r="F156" s="41"/>
      <c r="G156" s="42" t="str">
        <f t="shared" si="1"/>
        <v>Por favor seleccionar tipo de funcionalidad</v>
      </c>
      <c r="H156" s="54"/>
      <c r="I156" s="54"/>
      <c r="J156" s="54"/>
      <c r="K156" s="55">
        <f t="shared" si="5"/>
        <v>0</v>
      </c>
      <c r="L156" s="51"/>
      <c r="M156" s="51"/>
      <c r="N156" s="51"/>
      <c r="O156" s="51"/>
      <c r="P156" s="51"/>
      <c r="Q156" s="51"/>
      <c r="R156" s="51"/>
      <c r="S156" s="51"/>
      <c r="T156" s="51"/>
      <c r="U156" s="51"/>
      <c r="V156" s="51"/>
      <c r="W156" s="51"/>
      <c r="X156" s="51"/>
      <c r="Y156" s="51"/>
      <c r="Z156" s="51"/>
    </row>
    <row r="157" ht="15.75" customHeight="1">
      <c r="A157" s="51"/>
      <c r="B157" s="11" t="s">
        <v>14</v>
      </c>
      <c r="C157" s="44" t="s">
        <v>184</v>
      </c>
      <c r="D157" s="39" t="s">
        <v>120</v>
      </c>
      <c r="E157" s="20"/>
      <c r="F157" s="41"/>
      <c r="G157" s="42" t="str">
        <f t="shared" si="1"/>
        <v>Por favor seleccionar tipo de funcionalidad</v>
      </c>
      <c r="H157" s="54"/>
      <c r="I157" s="54"/>
      <c r="J157" s="54"/>
      <c r="K157" s="55">
        <f t="shared" si="5"/>
        <v>0</v>
      </c>
      <c r="L157" s="51"/>
      <c r="M157" s="51"/>
      <c r="N157" s="51"/>
      <c r="O157" s="51"/>
      <c r="P157" s="51"/>
      <c r="Q157" s="51"/>
      <c r="R157" s="51"/>
      <c r="S157" s="51"/>
      <c r="T157" s="51"/>
      <c r="U157" s="51"/>
      <c r="V157" s="51"/>
      <c r="W157" s="51"/>
      <c r="X157" s="51"/>
      <c r="Y157" s="51"/>
      <c r="Z157" s="51"/>
    </row>
    <row r="158" ht="15.75" customHeight="1">
      <c r="A158" s="51"/>
      <c r="B158" s="11" t="s">
        <v>14</v>
      </c>
      <c r="C158" s="44" t="s">
        <v>184</v>
      </c>
      <c r="D158" s="39" t="s">
        <v>185</v>
      </c>
      <c r="E158" s="20"/>
      <c r="F158" s="41"/>
      <c r="G158" s="42" t="str">
        <f t="shared" si="1"/>
        <v>Por favor seleccionar tipo de funcionalidad</v>
      </c>
      <c r="H158" s="54"/>
      <c r="I158" s="54"/>
      <c r="J158" s="54"/>
      <c r="K158" s="55">
        <f t="shared" si="5"/>
        <v>0</v>
      </c>
      <c r="L158" s="51"/>
      <c r="M158" s="51"/>
      <c r="N158" s="51"/>
      <c r="O158" s="51"/>
      <c r="P158" s="51"/>
      <c r="Q158" s="51"/>
      <c r="R158" s="51"/>
      <c r="S158" s="51"/>
      <c r="T158" s="51"/>
      <c r="U158" s="51"/>
      <c r="V158" s="51"/>
      <c r="W158" s="51"/>
      <c r="X158" s="51"/>
      <c r="Y158" s="51"/>
      <c r="Z158" s="51"/>
    </row>
    <row r="159" ht="15.75" customHeight="1">
      <c r="A159" s="51"/>
      <c r="B159" s="11" t="s">
        <v>14</v>
      </c>
      <c r="C159" s="44" t="s">
        <v>184</v>
      </c>
      <c r="D159" s="39" t="s">
        <v>186</v>
      </c>
      <c r="E159" s="20"/>
      <c r="F159" s="41"/>
      <c r="G159" s="42" t="str">
        <f t="shared" si="1"/>
        <v>Por favor seleccionar tipo de funcionalidad</v>
      </c>
      <c r="H159" s="54"/>
      <c r="I159" s="54"/>
      <c r="J159" s="54"/>
      <c r="K159" s="55">
        <f t="shared" si="5"/>
        <v>0</v>
      </c>
      <c r="L159" s="51"/>
      <c r="M159" s="51"/>
      <c r="N159" s="51"/>
      <c r="O159" s="51"/>
      <c r="P159" s="51"/>
      <c r="Q159" s="51"/>
      <c r="R159" s="51"/>
      <c r="S159" s="51"/>
      <c r="T159" s="51"/>
      <c r="U159" s="51"/>
      <c r="V159" s="51"/>
      <c r="W159" s="51"/>
      <c r="X159" s="51"/>
      <c r="Y159" s="51"/>
      <c r="Z159" s="51"/>
    </row>
    <row r="160" ht="15.75" customHeight="1">
      <c r="A160" s="51"/>
      <c r="B160" s="11" t="s">
        <v>14</v>
      </c>
      <c r="C160" s="56" t="s">
        <v>187</v>
      </c>
      <c r="D160" s="39" t="s">
        <v>134</v>
      </c>
      <c r="E160" s="24"/>
      <c r="F160" s="41"/>
      <c r="G160" s="42" t="str">
        <f t="shared" si="1"/>
        <v>Por favor seleccionar tipo de funcionalidad</v>
      </c>
      <c r="H160" s="54"/>
      <c r="I160" s="54"/>
      <c r="J160" s="54"/>
      <c r="K160" s="55">
        <f t="shared" si="5"/>
        <v>0</v>
      </c>
      <c r="L160" s="51"/>
      <c r="M160" s="51"/>
      <c r="N160" s="51"/>
      <c r="O160" s="51"/>
      <c r="P160" s="51"/>
      <c r="Q160" s="51"/>
      <c r="R160" s="51"/>
      <c r="S160" s="51"/>
      <c r="T160" s="51"/>
      <c r="U160" s="51"/>
      <c r="V160" s="51"/>
      <c r="W160" s="51"/>
      <c r="X160" s="51"/>
      <c r="Y160" s="51"/>
      <c r="Z160" s="51"/>
    </row>
    <row r="161" ht="15.75" customHeight="1">
      <c r="A161" s="51"/>
      <c r="B161" s="11" t="s">
        <v>14</v>
      </c>
      <c r="C161" s="56" t="s">
        <v>187</v>
      </c>
      <c r="D161" s="39" t="s">
        <v>123</v>
      </c>
      <c r="E161" s="40" t="s">
        <v>124</v>
      </c>
      <c r="F161" s="41"/>
      <c r="G161" s="42" t="str">
        <f t="shared" si="1"/>
        <v>Por favor seleccionar tipo de funcionalidad</v>
      </c>
      <c r="H161" s="54"/>
      <c r="I161" s="54"/>
      <c r="J161" s="54"/>
      <c r="K161" s="55">
        <f t="shared" si="5"/>
        <v>0</v>
      </c>
      <c r="L161" s="51"/>
      <c r="M161" s="51"/>
      <c r="N161" s="51"/>
      <c r="O161" s="51"/>
      <c r="P161" s="51"/>
      <c r="Q161" s="51"/>
      <c r="R161" s="51"/>
      <c r="S161" s="51"/>
      <c r="T161" s="51"/>
      <c r="U161" s="51"/>
      <c r="V161" s="51"/>
      <c r="W161" s="51"/>
      <c r="X161" s="51"/>
      <c r="Y161" s="51"/>
      <c r="Z161" s="51"/>
    </row>
    <row r="162" ht="15.75" customHeight="1">
      <c r="A162" s="51"/>
      <c r="B162" s="11" t="s">
        <v>14</v>
      </c>
      <c r="C162" s="56" t="s">
        <v>187</v>
      </c>
      <c r="D162" s="39" t="s">
        <v>126</v>
      </c>
      <c r="E162" s="20"/>
      <c r="F162" s="41"/>
      <c r="G162" s="42" t="str">
        <f t="shared" si="1"/>
        <v>Por favor seleccionar tipo de funcionalidad</v>
      </c>
      <c r="H162" s="54"/>
      <c r="I162" s="54"/>
      <c r="J162" s="54"/>
      <c r="K162" s="55">
        <f t="shared" si="5"/>
        <v>0</v>
      </c>
      <c r="L162" s="51"/>
      <c r="M162" s="51"/>
      <c r="N162" s="51"/>
      <c r="O162" s="51"/>
      <c r="P162" s="51"/>
      <c r="Q162" s="51"/>
      <c r="R162" s="51"/>
      <c r="S162" s="51"/>
      <c r="T162" s="51"/>
      <c r="U162" s="51"/>
      <c r="V162" s="51"/>
      <c r="W162" s="51"/>
      <c r="X162" s="51"/>
      <c r="Y162" s="51"/>
      <c r="Z162" s="51"/>
    </row>
    <row r="163" ht="15.75" customHeight="1">
      <c r="A163" s="51"/>
      <c r="B163" s="11" t="s">
        <v>14</v>
      </c>
      <c r="C163" s="56" t="s">
        <v>187</v>
      </c>
      <c r="D163" s="39" t="s">
        <v>128</v>
      </c>
      <c r="E163" s="20"/>
      <c r="F163" s="41"/>
      <c r="G163" s="42" t="str">
        <f t="shared" si="1"/>
        <v>Por favor seleccionar tipo de funcionalidad</v>
      </c>
      <c r="H163" s="54"/>
      <c r="I163" s="54"/>
      <c r="J163" s="54"/>
      <c r="K163" s="55">
        <f t="shared" si="5"/>
        <v>0</v>
      </c>
      <c r="L163" s="51"/>
      <c r="M163" s="51"/>
      <c r="N163" s="51"/>
      <c r="O163" s="51"/>
      <c r="P163" s="51"/>
      <c r="Q163" s="51"/>
      <c r="R163" s="51"/>
      <c r="S163" s="51"/>
      <c r="T163" s="51"/>
      <c r="U163" s="51"/>
      <c r="V163" s="51"/>
      <c r="W163" s="51"/>
      <c r="X163" s="51"/>
      <c r="Y163" s="51"/>
      <c r="Z163" s="51"/>
    </row>
    <row r="164" ht="15.75" customHeight="1">
      <c r="A164" s="51"/>
      <c r="B164" s="11" t="s">
        <v>14</v>
      </c>
      <c r="C164" s="56" t="s">
        <v>187</v>
      </c>
      <c r="D164" s="39" t="s">
        <v>129</v>
      </c>
      <c r="E164" s="20"/>
      <c r="F164" s="41"/>
      <c r="G164" s="42" t="str">
        <f t="shared" si="1"/>
        <v>Por favor seleccionar tipo de funcionalidad</v>
      </c>
      <c r="H164" s="54"/>
      <c r="I164" s="54"/>
      <c r="J164" s="54"/>
      <c r="K164" s="55">
        <f t="shared" si="5"/>
        <v>0</v>
      </c>
      <c r="L164" s="51"/>
      <c r="M164" s="51"/>
      <c r="N164" s="51"/>
      <c r="O164" s="51"/>
      <c r="P164" s="51"/>
      <c r="Q164" s="51"/>
      <c r="R164" s="51"/>
      <c r="S164" s="51"/>
      <c r="T164" s="51"/>
      <c r="U164" s="51"/>
      <c r="V164" s="51"/>
      <c r="W164" s="51"/>
      <c r="X164" s="51"/>
      <c r="Y164" s="51"/>
      <c r="Z164" s="51"/>
    </row>
    <row r="165" ht="15.75" customHeight="1">
      <c r="A165" s="51"/>
      <c r="B165" s="11" t="s">
        <v>14</v>
      </c>
      <c r="C165" s="56" t="s">
        <v>187</v>
      </c>
      <c r="D165" s="39" t="s">
        <v>130</v>
      </c>
      <c r="E165" s="20"/>
      <c r="F165" s="41"/>
      <c r="G165" s="42" t="str">
        <f t="shared" si="1"/>
        <v>Por favor seleccionar tipo de funcionalidad</v>
      </c>
      <c r="H165" s="54"/>
      <c r="I165" s="54"/>
      <c r="J165" s="54"/>
      <c r="K165" s="55">
        <f t="shared" si="5"/>
        <v>0</v>
      </c>
      <c r="L165" s="51"/>
      <c r="M165" s="51"/>
      <c r="N165" s="51"/>
      <c r="O165" s="51"/>
      <c r="P165" s="51"/>
      <c r="Q165" s="51"/>
      <c r="R165" s="51"/>
      <c r="S165" s="51"/>
      <c r="T165" s="51"/>
      <c r="U165" s="51"/>
      <c r="V165" s="51"/>
      <c r="W165" s="51"/>
      <c r="X165" s="51"/>
      <c r="Y165" s="51"/>
      <c r="Z165" s="51"/>
    </row>
    <row r="166" ht="15.75" customHeight="1">
      <c r="A166" s="51"/>
      <c r="B166" s="11" t="s">
        <v>14</v>
      </c>
      <c r="C166" s="56" t="s">
        <v>187</v>
      </c>
      <c r="D166" s="39" t="s">
        <v>131</v>
      </c>
      <c r="E166" s="24"/>
      <c r="F166" s="41"/>
      <c r="G166" s="42" t="str">
        <f t="shared" si="1"/>
        <v>Por favor seleccionar tipo de funcionalidad</v>
      </c>
      <c r="H166" s="54"/>
      <c r="I166" s="54"/>
      <c r="J166" s="54"/>
      <c r="K166" s="55">
        <f t="shared" si="5"/>
        <v>0</v>
      </c>
      <c r="L166" s="51"/>
      <c r="M166" s="51"/>
      <c r="N166" s="51"/>
      <c r="O166" s="51"/>
      <c r="P166" s="51"/>
      <c r="Q166" s="51"/>
      <c r="R166" s="51"/>
      <c r="S166" s="51"/>
      <c r="T166" s="51"/>
      <c r="U166" s="51"/>
      <c r="V166" s="51"/>
      <c r="W166" s="51"/>
      <c r="X166" s="51"/>
      <c r="Y166" s="51"/>
      <c r="Z166" s="51"/>
    </row>
    <row r="167" ht="15.75" customHeight="1">
      <c r="A167" s="51"/>
      <c r="B167" s="11" t="s">
        <v>14</v>
      </c>
      <c r="C167" s="44" t="s">
        <v>188</v>
      </c>
      <c r="D167" s="39" t="s">
        <v>189</v>
      </c>
      <c r="E167" s="40" t="s">
        <v>190</v>
      </c>
      <c r="F167" s="41"/>
      <c r="G167" s="42" t="str">
        <f t="shared" si="1"/>
        <v>Por favor seleccionar tipo de funcionalidad</v>
      </c>
      <c r="H167" s="54"/>
      <c r="I167" s="54"/>
      <c r="J167" s="54"/>
      <c r="K167" s="55">
        <f t="shared" si="5"/>
        <v>0</v>
      </c>
      <c r="L167" s="51"/>
      <c r="M167" s="51"/>
      <c r="N167" s="51"/>
      <c r="O167" s="51"/>
      <c r="P167" s="51"/>
      <c r="Q167" s="51"/>
      <c r="R167" s="51"/>
      <c r="S167" s="51"/>
      <c r="T167" s="51"/>
      <c r="U167" s="51"/>
      <c r="V167" s="51"/>
      <c r="W167" s="51"/>
      <c r="X167" s="51"/>
      <c r="Y167" s="51"/>
      <c r="Z167" s="51"/>
    </row>
    <row r="168" ht="57.0" customHeight="1">
      <c r="A168" s="51"/>
      <c r="B168" s="11" t="s">
        <v>14</v>
      </c>
      <c r="C168" s="44" t="s">
        <v>188</v>
      </c>
      <c r="D168" s="39" t="s">
        <v>191</v>
      </c>
      <c r="E168" s="20"/>
      <c r="F168" s="41"/>
      <c r="G168" s="42" t="str">
        <f t="shared" si="1"/>
        <v>Por favor seleccionar tipo de funcionalidad</v>
      </c>
      <c r="H168" s="54"/>
      <c r="I168" s="54"/>
      <c r="J168" s="54"/>
      <c r="K168" s="55">
        <f t="shared" si="5"/>
        <v>0</v>
      </c>
      <c r="L168" s="51"/>
      <c r="M168" s="51"/>
      <c r="N168" s="51"/>
      <c r="O168" s="51"/>
      <c r="P168" s="51"/>
      <c r="Q168" s="51"/>
      <c r="R168" s="51"/>
      <c r="S168" s="51"/>
      <c r="T168" s="51"/>
      <c r="U168" s="51"/>
      <c r="V168" s="51"/>
      <c r="W168" s="51"/>
      <c r="X168" s="51"/>
      <c r="Y168" s="51"/>
      <c r="Z168" s="51"/>
    </row>
    <row r="169" ht="119.25" customHeight="1">
      <c r="A169" s="51"/>
      <c r="B169" s="11" t="s">
        <v>14</v>
      </c>
      <c r="C169" s="44" t="s">
        <v>192</v>
      </c>
      <c r="D169" s="39" t="s">
        <v>193</v>
      </c>
      <c r="E169" s="24"/>
      <c r="F169" s="41"/>
      <c r="G169" s="42" t="str">
        <f t="shared" si="1"/>
        <v>Por favor seleccionar tipo de funcionalidad</v>
      </c>
      <c r="H169" s="54"/>
      <c r="I169" s="54"/>
      <c r="J169" s="54"/>
      <c r="K169" s="55">
        <f t="shared" si="5"/>
        <v>0</v>
      </c>
      <c r="L169" s="51"/>
      <c r="M169" s="51"/>
      <c r="N169" s="51"/>
      <c r="O169" s="51"/>
      <c r="P169" s="51"/>
      <c r="Q169" s="51"/>
      <c r="R169" s="51"/>
      <c r="S169" s="51"/>
      <c r="T169" s="51"/>
      <c r="U169" s="51"/>
      <c r="V169" s="51"/>
      <c r="W169" s="51"/>
      <c r="X169" s="51"/>
      <c r="Y169" s="51"/>
      <c r="Z169" s="51"/>
    </row>
    <row r="170" ht="93.75" customHeight="1">
      <c r="A170" s="51"/>
      <c r="B170" s="11" t="s">
        <v>14</v>
      </c>
      <c r="C170" s="44" t="s">
        <v>194</v>
      </c>
      <c r="D170" s="39" t="s">
        <v>195</v>
      </c>
      <c r="E170" s="40" t="s">
        <v>196</v>
      </c>
      <c r="F170" s="41"/>
      <c r="G170" s="42" t="str">
        <f t="shared" si="1"/>
        <v>Por favor seleccionar tipo de funcionalidad</v>
      </c>
      <c r="H170" s="54"/>
      <c r="I170" s="54"/>
      <c r="J170" s="54"/>
      <c r="K170" s="55">
        <f t="shared" si="5"/>
        <v>0</v>
      </c>
      <c r="L170" s="51"/>
      <c r="M170" s="51"/>
      <c r="N170" s="51"/>
      <c r="O170" s="51"/>
      <c r="P170" s="51"/>
      <c r="Q170" s="51"/>
      <c r="R170" s="51"/>
      <c r="S170" s="51"/>
      <c r="T170" s="51"/>
      <c r="U170" s="51"/>
      <c r="V170" s="51"/>
      <c r="W170" s="51"/>
      <c r="X170" s="51"/>
      <c r="Y170" s="51"/>
      <c r="Z170" s="51"/>
    </row>
    <row r="171" ht="93.75" customHeight="1">
      <c r="A171" s="51"/>
      <c r="B171" s="11" t="s">
        <v>14</v>
      </c>
      <c r="C171" s="44" t="s">
        <v>197</v>
      </c>
      <c r="D171" s="39" t="s">
        <v>198</v>
      </c>
      <c r="E171" s="20"/>
      <c r="F171" s="41"/>
      <c r="G171" s="42" t="str">
        <f t="shared" si="1"/>
        <v>Por favor seleccionar tipo de funcionalidad</v>
      </c>
      <c r="H171" s="54"/>
      <c r="I171" s="54"/>
      <c r="J171" s="54"/>
      <c r="K171" s="55">
        <f t="shared" si="5"/>
        <v>0</v>
      </c>
      <c r="L171" s="51"/>
      <c r="M171" s="51"/>
      <c r="N171" s="51"/>
      <c r="O171" s="51"/>
      <c r="P171" s="51"/>
      <c r="Q171" s="51"/>
      <c r="R171" s="51"/>
      <c r="S171" s="51"/>
      <c r="T171" s="51"/>
      <c r="U171" s="51"/>
      <c r="V171" s="51"/>
      <c r="W171" s="51"/>
      <c r="X171" s="51"/>
      <c r="Y171" s="51"/>
      <c r="Z171" s="51"/>
    </row>
    <row r="172" ht="93.75" customHeight="1">
      <c r="A172" s="51"/>
      <c r="B172" s="11" t="s">
        <v>14</v>
      </c>
      <c r="C172" s="44" t="s">
        <v>197</v>
      </c>
      <c r="D172" s="39" t="s">
        <v>199</v>
      </c>
      <c r="E172" s="20"/>
      <c r="F172" s="41"/>
      <c r="G172" s="42" t="str">
        <f t="shared" si="1"/>
        <v>Por favor seleccionar tipo de funcionalidad</v>
      </c>
      <c r="H172" s="54"/>
      <c r="I172" s="54"/>
      <c r="J172" s="54"/>
      <c r="K172" s="55">
        <f t="shared" si="5"/>
        <v>0</v>
      </c>
      <c r="L172" s="51"/>
      <c r="M172" s="51"/>
      <c r="N172" s="51"/>
      <c r="O172" s="51"/>
      <c r="P172" s="51"/>
      <c r="Q172" s="51"/>
      <c r="R172" s="51"/>
      <c r="S172" s="51"/>
      <c r="T172" s="51"/>
      <c r="U172" s="51"/>
      <c r="V172" s="51"/>
      <c r="W172" s="51"/>
      <c r="X172" s="51"/>
      <c r="Y172" s="51"/>
      <c r="Z172" s="51"/>
    </row>
    <row r="173" ht="15.75" customHeight="1">
      <c r="A173" s="51"/>
      <c r="B173" s="11" t="s">
        <v>14</v>
      </c>
      <c r="C173" s="44" t="s">
        <v>197</v>
      </c>
      <c r="D173" s="39" t="s">
        <v>200</v>
      </c>
      <c r="E173" s="20"/>
      <c r="F173" s="41"/>
      <c r="G173" s="42" t="str">
        <f t="shared" si="1"/>
        <v>Por favor seleccionar tipo de funcionalidad</v>
      </c>
      <c r="H173" s="54"/>
      <c r="I173" s="54"/>
      <c r="J173" s="54"/>
      <c r="K173" s="55">
        <f t="shared" si="5"/>
        <v>0</v>
      </c>
      <c r="L173" s="51"/>
      <c r="M173" s="51"/>
      <c r="N173" s="51"/>
      <c r="O173" s="51"/>
      <c r="P173" s="51"/>
      <c r="Q173" s="51"/>
      <c r="R173" s="51"/>
      <c r="S173" s="51"/>
      <c r="T173" s="51"/>
      <c r="U173" s="51"/>
      <c r="V173" s="51"/>
      <c r="W173" s="51"/>
      <c r="X173" s="51"/>
      <c r="Y173" s="51"/>
      <c r="Z173" s="51"/>
    </row>
    <row r="174" ht="15.75" customHeight="1">
      <c r="A174" s="51"/>
      <c r="B174" s="11" t="s">
        <v>14</v>
      </c>
      <c r="C174" s="44" t="s">
        <v>197</v>
      </c>
      <c r="D174" s="39" t="s">
        <v>201</v>
      </c>
      <c r="E174" s="20"/>
      <c r="F174" s="41"/>
      <c r="G174" s="42" t="str">
        <f t="shared" si="1"/>
        <v>Por favor seleccionar tipo de funcionalidad</v>
      </c>
      <c r="H174" s="54"/>
      <c r="I174" s="54"/>
      <c r="J174" s="54"/>
      <c r="K174" s="55">
        <f t="shared" si="5"/>
        <v>0</v>
      </c>
      <c r="L174" s="51"/>
      <c r="M174" s="51"/>
      <c r="N174" s="51"/>
      <c r="O174" s="51"/>
      <c r="P174" s="51"/>
      <c r="Q174" s="51"/>
      <c r="R174" s="51"/>
      <c r="S174" s="51"/>
      <c r="T174" s="51"/>
      <c r="U174" s="51"/>
      <c r="V174" s="51"/>
      <c r="W174" s="51"/>
      <c r="X174" s="51"/>
      <c r="Y174" s="51"/>
      <c r="Z174" s="51"/>
    </row>
    <row r="175" ht="15.75" customHeight="1">
      <c r="A175" s="51"/>
      <c r="B175" s="11" t="s">
        <v>14</v>
      </c>
      <c r="C175" s="44" t="s">
        <v>197</v>
      </c>
      <c r="D175" s="39" t="s">
        <v>202</v>
      </c>
      <c r="E175" s="24"/>
      <c r="F175" s="41"/>
      <c r="G175" s="42" t="str">
        <f t="shared" si="1"/>
        <v>Por favor seleccionar tipo de funcionalidad</v>
      </c>
      <c r="H175" s="54"/>
      <c r="I175" s="54"/>
      <c r="J175" s="54"/>
      <c r="K175" s="55">
        <f t="shared" si="5"/>
        <v>0</v>
      </c>
      <c r="L175" s="51"/>
      <c r="M175" s="51"/>
      <c r="N175" s="51"/>
      <c r="O175" s="51"/>
      <c r="P175" s="51"/>
      <c r="Q175" s="51"/>
      <c r="R175" s="51"/>
      <c r="S175" s="51"/>
      <c r="T175" s="51"/>
      <c r="U175" s="51"/>
      <c r="V175" s="51"/>
      <c r="W175" s="51"/>
      <c r="X175" s="51"/>
      <c r="Y175" s="51"/>
      <c r="Z175" s="51"/>
    </row>
    <row r="176" ht="49.5" customHeight="1">
      <c r="A176" s="51"/>
      <c r="B176" s="57" t="s">
        <v>14</v>
      </c>
      <c r="C176" s="44" t="s">
        <v>203</v>
      </c>
      <c r="D176" s="39" t="s">
        <v>204</v>
      </c>
      <c r="E176" s="40" t="s">
        <v>205</v>
      </c>
      <c r="F176" s="41"/>
      <c r="G176" s="42" t="str">
        <f t="shared" si="1"/>
        <v>Por favor seleccionar tipo de funcionalidad</v>
      </c>
      <c r="H176" s="54"/>
      <c r="I176" s="54"/>
      <c r="J176" s="54"/>
      <c r="K176" s="55">
        <f t="shared" si="5"/>
        <v>0</v>
      </c>
      <c r="L176" s="51"/>
      <c r="M176" s="51"/>
      <c r="N176" s="51"/>
      <c r="O176" s="51"/>
      <c r="P176" s="51"/>
      <c r="Q176" s="51"/>
      <c r="R176" s="51"/>
      <c r="S176" s="51"/>
      <c r="T176" s="51"/>
      <c r="U176" s="51"/>
      <c r="V176" s="51"/>
      <c r="W176" s="51"/>
      <c r="X176" s="51"/>
      <c r="Y176" s="51"/>
      <c r="Z176" s="51"/>
    </row>
    <row r="177" ht="15.75" customHeight="1">
      <c r="A177" s="51"/>
      <c r="B177" s="11" t="s">
        <v>14</v>
      </c>
      <c r="C177" s="44" t="s">
        <v>203</v>
      </c>
      <c r="D177" s="39" t="s">
        <v>206</v>
      </c>
      <c r="E177" s="20"/>
      <c r="F177" s="41"/>
      <c r="G177" s="42" t="str">
        <f t="shared" si="1"/>
        <v>Por favor seleccionar tipo de funcionalidad</v>
      </c>
      <c r="H177" s="54"/>
      <c r="I177" s="54"/>
      <c r="J177" s="54"/>
      <c r="K177" s="55">
        <f t="shared" si="5"/>
        <v>0</v>
      </c>
      <c r="L177" s="51"/>
      <c r="M177" s="51"/>
      <c r="N177" s="51"/>
      <c r="O177" s="51"/>
      <c r="P177" s="51"/>
      <c r="Q177" s="51"/>
      <c r="R177" s="51"/>
      <c r="S177" s="51"/>
      <c r="T177" s="51"/>
      <c r="U177" s="51"/>
      <c r="V177" s="51"/>
      <c r="W177" s="51"/>
      <c r="X177" s="51"/>
      <c r="Y177" s="51"/>
      <c r="Z177" s="51"/>
    </row>
    <row r="178" ht="99.0" customHeight="1">
      <c r="A178" s="51"/>
      <c r="B178" s="11" t="s">
        <v>14</v>
      </c>
      <c r="C178" s="44" t="s">
        <v>207</v>
      </c>
      <c r="D178" s="39" t="s">
        <v>208</v>
      </c>
      <c r="E178" s="20"/>
      <c r="F178" s="41"/>
      <c r="G178" s="42" t="str">
        <f t="shared" si="1"/>
        <v>Por favor seleccionar tipo de funcionalidad</v>
      </c>
      <c r="H178" s="54"/>
      <c r="I178" s="54"/>
      <c r="J178" s="54"/>
      <c r="K178" s="55">
        <f t="shared" si="5"/>
        <v>0</v>
      </c>
      <c r="L178" s="51"/>
      <c r="M178" s="51"/>
      <c r="N178" s="51"/>
      <c r="O178" s="51"/>
      <c r="P178" s="51"/>
      <c r="Q178" s="51"/>
      <c r="R178" s="51"/>
      <c r="S178" s="51"/>
      <c r="T178" s="51"/>
      <c r="U178" s="51"/>
      <c r="V178" s="51"/>
      <c r="W178" s="51"/>
      <c r="X178" s="51"/>
      <c r="Y178" s="51"/>
      <c r="Z178" s="51"/>
    </row>
    <row r="179" ht="85.5" customHeight="1">
      <c r="A179" s="51"/>
      <c r="B179" s="11" t="s">
        <v>14</v>
      </c>
      <c r="C179" s="44" t="s">
        <v>209</v>
      </c>
      <c r="D179" s="39" t="s">
        <v>210</v>
      </c>
      <c r="E179" s="20"/>
      <c r="F179" s="41"/>
      <c r="G179" s="42" t="str">
        <f t="shared" si="1"/>
        <v>Por favor seleccionar tipo de funcionalidad</v>
      </c>
      <c r="H179" s="54"/>
      <c r="I179" s="54"/>
      <c r="J179" s="54"/>
      <c r="K179" s="55">
        <f t="shared" si="5"/>
        <v>0</v>
      </c>
      <c r="L179" s="51"/>
      <c r="M179" s="51"/>
      <c r="N179" s="51"/>
      <c r="O179" s="51"/>
      <c r="P179" s="51"/>
      <c r="Q179" s="51"/>
      <c r="R179" s="51"/>
      <c r="S179" s="51"/>
      <c r="T179" s="51"/>
      <c r="U179" s="51"/>
      <c r="V179" s="51"/>
      <c r="W179" s="51"/>
      <c r="X179" s="51"/>
      <c r="Y179" s="51"/>
      <c r="Z179" s="51"/>
    </row>
    <row r="180" ht="15.75" customHeight="1">
      <c r="A180" s="51"/>
      <c r="B180" s="11" t="s">
        <v>14</v>
      </c>
      <c r="C180" s="44" t="s">
        <v>209</v>
      </c>
      <c r="D180" s="39" t="s">
        <v>211</v>
      </c>
      <c r="E180" s="20"/>
      <c r="F180" s="41"/>
      <c r="G180" s="42" t="str">
        <f t="shared" si="1"/>
        <v>Por favor seleccionar tipo de funcionalidad</v>
      </c>
      <c r="H180" s="54"/>
      <c r="I180" s="54"/>
      <c r="J180" s="54"/>
      <c r="K180" s="55">
        <f t="shared" si="5"/>
        <v>0</v>
      </c>
      <c r="L180" s="51"/>
      <c r="M180" s="51"/>
      <c r="N180" s="51"/>
      <c r="O180" s="51"/>
      <c r="P180" s="51"/>
      <c r="Q180" s="51"/>
      <c r="R180" s="51"/>
      <c r="S180" s="51"/>
      <c r="T180" s="51"/>
      <c r="U180" s="51"/>
      <c r="V180" s="51"/>
      <c r="W180" s="51"/>
      <c r="X180" s="51"/>
      <c r="Y180" s="51"/>
      <c r="Z180" s="51"/>
    </row>
    <row r="181" ht="15.75" customHeight="1">
      <c r="A181" s="51"/>
      <c r="B181" s="11" t="s">
        <v>14</v>
      </c>
      <c r="C181" s="44" t="s">
        <v>212</v>
      </c>
      <c r="D181" s="39" t="s">
        <v>213</v>
      </c>
      <c r="E181" s="20"/>
      <c r="F181" s="41"/>
      <c r="G181" s="42" t="str">
        <f t="shared" si="1"/>
        <v>Por favor seleccionar tipo de funcionalidad</v>
      </c>
      <c r="H181" s="54"/>
      <c r="I181" s="54"/>
      <c r="J181" s="54"/>
      <c r="K181" s="55">
        <f t="shared" si="5"/>
        <v>0</v>
      </c>
      <c r="L181" s="51"/>
      <c r="M181" s="51"/>
      <c r="N181" s="51"/>
      <c r="O181" s="51"/>
      <c r="P181" s="51"/>
      <c r="Q181" s="51"/>
      <c r="R181" s="51"/>
      <c r="S181" s="51"/>
      <c r="T181" s="51"/>
      <c r="U181" s="51"/>
      <c r="V181" s="51"/>
      <c r="W181" s="51"/>
      <c r="X181" s="51"/>
      <c r="Y181" s="51"/>
      <c r="Z181" s="51"/>
    </row>
    <row r="182" ht="15.75" customHeight="1">
      <c r="A182" s="51"/>
      <c r="B182" s="11" t="s">
        <v>14</v>
      </c>
      <c r="C182" s="44" t="s">
        <v>212</v>
      </c>
      <c r="D182" s="39" t="s">
        <v>214</v>
      </c>
      <c r="E182" s="20"/>
      <c r="F182" s="41"/>
      <c r="G182" s="42" t="str">
        <f t="shared" si="1"/>
        <v>Por favor seleccionar tipo de funcionalidad</v>
      </c>
      <c r="H182" s="54"/>
      <c r="I182" s="54"/>
      <c r="J182" s="54"/>
      <c r="K182" s="55">
        <f t="shared" si="5"/>
        <v>0</v>
      </c>
      <c r="L182" s="51"/>
      <c r="M182" s="51"/>
      <c r="N182" s="51"/>
      <c r="O182" s="51"/>
      <c r="P182" s="51"/>
      <c r="Q182" s="51"/>
      <c r="R182" s="51"/>
      <c r="S182" s="51"/>
      <c r="T182" s="51"/>
      <c r="U182" s="51"/>
      <c r="V182" s="51"/>
      <c r="W182" s="51"/>
      <c r="X182" s="51"/>
      <c r="Y182" s="51"/>
      <c r="Z182" s="51"/>
    </row>
    <row r="183" ht="15.75" customHeight="1">
      <c r="A183" s="51"/>
      <c r="B183" s="11" t="s">
        <v>14</v>
      </c>
      <c r="C183" s="44" t="s">
        <v>215</v>
      </c>
      <c r="D183" s="39" t="s">
        <v>216</v>
      </c>
      <c r="E183" s="20"/>
      <c r="F183" s="41"/>
      <c r="G183" s="42" t="str">
        <f t="shared" si="1"/>
        <v>Por favor seleccionar tipo de funcionalidad</v>
      </c>
      <c r="H183" s="54"/>
      <c r="I183" s="54"/>
      <c r="J183" s="54"/>
      <c r="K183" s="55">
        <f t="shared" si="5"/>
        <v>0</v>
      </c>
      <c r="L183" s="51"/>
      <c r="M183" s="51"/>
      <c r="N183" s="51"/>
      <c r="O183" s="51"/>
      <c r="P183" s="51"/>
      <c r="Q183" s="51"/>
      <c r="R183" s="51"/>
      <c r="S183" s="51"/>
      <c r="T183" s="51"/>
      <c r="U183" s="51"/>
      <c r="V183" s="51"/>
      <c r="W183" s="51"/>
      <c r="X183" s="51"/>
      <c r="Y183" s="51"/>
      <c r="Z183" s="51"/>
    </row>
    <row r="184" ht="15.75" customHeight="1">
      <c r="A184" s="51"/>
      <c r="B184" s="11" t="s">
        <v>14</v>
      </c>
      <c r="C184" s="44" t="s">
        <v>217</v>
      </c>
      <c r="D184" s="39" t="s">
        <v>218</v>
      </c>
      <c r="E184" s="20"/>
      <c r="F184" s="41"/>
      <c r="G184" s="42" t="str">
        <f t="shared" si="1"/>
        <v>Por favor seleccionar tipo de funcionalidad</v>
      </c>
      <c r="H184" s="54"/>
      <c r="I184" s="54"/>
      <c r="J184" s="54"/>
      <c r="K184" s="55">
        <f t="shared" si="5"/>
        <v>0</v>
      </c>
      <c r="L184" s="51"/>
      <c r="M184" s="51"/>
      <c r="N184" s="51"/>
      <c r="O184" s="51"/>
      <c r="P184" s="51"/>
      <c r="Q184" s="51"/>
      <c r="R184" s="51"/>
      <c r="S184" s="51"/>
      <c r="T184" s="51"/>
      <c r="U184" s="51"/>
      <c r="V184" s="51"/>
      <c r="W184" s="51"/>
      <c r="X184" s="51"/>
      <c r="Y184" s="51"/>
      <c r="Z184" s="51"/>
    </row>
    <row r="185" ht="15.75" customHeight="1">
      <c r="A185" s="51"/>
      <c r="B185" s="11" t="s">
        <v>14</v>
      </c>
      <c r="C185" s="44" t="s">
        <v>217</v>
      </c>
      <c r="D185" s="39" t="s">
        <v>219</v>
      </c>
      <c r="E185" s="24"/>
      <c r="F185" s="41"/>
      <c r="G185" s="42" t="str">
        <f t="shared" si="1"/>
        <v>Por favor seleccionar tipo de funcionalidad</v>
      </c>
      <c r="H185" s="54"/>
      <c r="I185" s="54"/>
      <c r="J185" s="54"/>
      <c r="K185" s="55">
        <f t="shared" si="5"/>
        <v>0</v>
      </c>
      <c r="L185" s="51"/>
      <c r="M185" s="51"/>
      <c r="N185" s="51"/>
      <c r="O185" s="51"/>
      <c r="P185" s="51"/>
      <c r="Q185" s="51"/>
      <c r="R185" s="51"/>
      <c r="S185" s="51"/>
      <c r="T185" s="51"/>
      <c r="U185" s="51"/>
      <c r="V185" s="51"/>
      <c r="W185" s="51"/>
      <c r="X185" s="51"/>
      <c r="Y185" s="51"/>
      <c r="Z185" s="51"/>
    </row>
    <row r="186" ht="15.75" customHeight="1">
      <c r="A186" s="51"/>
      <c r="B186" s="11" t="s">
        <v>14</v>
      </c>
      <c r="C186" s="44" t="s">
        <v>220</v>
      </c>
      <c r="D186" s="39" t="s">
        <v>221</v>
      </c>
      <c r="E186" s="40" t="s">
        <v>222</v>
      </c>
      <c r="F186" s="41"/>
      <c r="G186" s="42" t="str">
        <f t="shared" si="1"/>
        <v>Por favor seleccionar tipo de funcionalidad</v>
      </c>
      <c r="H186" s="54"/>
      <c r="I186" s="54"/>
      <c r="J186" s="54"/>
      <c r="K186" s="55">
        <f t="shared" si="5"/>
        <v>0</v>
      </c>
      <c r="L186" s="51"/>
      <c r="M186" s="51"/>
      <c r="N186" s="51"/>
      <c r="O186" s="51"/>
      <c r="P186" s="51"/>
      <c r="Q186" s="51"/>
      <c r="R186" s="51"/>
      <c r="S186" s="51"/>
      <c r="T186" s="51"/>
      <c r="U186" s="51"/>
      <c r="V186" s="51"/>
      <c r="W186" s="51"/>
      <c r="X186" s="51"/>
      <c r="Y186" s="51"/>
      <c r="Z186" s="51"/>
    </row>
    <row r="187" ht="15.75" customHeight="1">
      <c r="A187" s="51"/>
      <c r="B187" s="11" t="s">
        <v>14</v>
      </c>
      <c r="C187" s="44" t="s">
        <v>220</v>
      </c>
      <c r="D187" s="39" t="s">
        <v>223</v>
      </c>
      <c r="E187" s="20"/>
      <c r="F187" s="41"/>
      <c r="G187" s="42" t="str">
        <f t="shared" si="1"/>
        <v>Por favor seleccionar tipo de funcionalidad</v>
      </c>
      <c r="H187" s="54"/>
      <c r="I187" s="54"/>
      <c r="J187" s="54"/>
      <c r="K187" s="55">
        <f t="shared" si="5"/>
        <v>0</v>
      </c>
      <c r="L187" s="51"/>
      <c r="M187" s="51"/>
      <c r="N187" s="51"/>
      <c r="O187" s="51"/>
      <c r="P187" s="51"/>
      <c r="Q187" s="51"/>
      <c r="R187" s="51"/>
      <c r="S187" s="51"/>
      <c r="T187" s="51"/>
      <c r="U187" s="51"/>
      <c r="V187" s="51"/>
      <c r="W187" s="51"/>
      <c r="X187" s="51"/>
      <c r="Y187" s="51"/>
      <c r="Z187" s="51"/>
    </row>
    <row r="188" ht="15.75" customHeight="1">
      <c r="A188" s="51"/>
      <c r="B188" s="11" t="s">
        <v>14</v>
      </c>
      <c r="C188" s="44" t="s">
        <v>224</v>
      </c>
      <c r="D188" s="39" t="s">
        <v>225</v>
      </c>
      <c r="E188" s="20"/>
      <c r="F188" s="41"/>
      <c r="G188" s="42" t="str">
        <f t="shared" si="1"/>
        <v>Por favor seleccionar tipo de funcionalidad</v>
      </c>
      <c r="H188" s="54"/>
      <c r="I188" s="54"/>
      <c r="J188" s="54"/>
      <c r="K188" s="55">
        <f t="shared" si="5"/>
        <v>0</v>
      </c>
      <c r="L188" s="51"/>
      <c r="M188" s="51"/>
      <c r="N188" s="51"/>
      <c r="O188" s="51"/>
      <c r="P188" s="51"/>
      <c r="Q188" s="51"/>
      <c r="R188" s="51"/>
      <c r="S188" s="51"/>
      <c r="T188" s="51"/>
      <c r="U188" s="51"/>
      <c r="V188" s="51"/>
      <c r="W188" s="51"/>
      <c r="X188" s="51"/>
      <c r="Y188" s="51"/>
      <c r="Z188" s="51"/>
    </row>
    <row r="189" ht="15.75" customHeight="1">
      <c r="A189" s="51"/>
      <c r="B189" s="11" t="s">
        <v>14</v>
      </c>
      <c r="C189" s="44" t="s">
        <v>224</v>
      </c>
      <c r="D189" s="39" t="s">
        <v>226</v>
      </c>
      <c r="E189" s="20"/>
      <c r="F189" s="41"/>
      <c r="G189" s="42" t="str">
        <f t="shared" si="1"/>
        <v>Por favor seleccionar tipo de funcionalidad</v>
      </c>
      <c r="H189" s="54"/>
      <c r="I189" s="54"/>
      <c r="J189" s="54"/>
      <c r="K189" s="55">
        <f t="shared" si="5"/>
        <v>0</v>
      </c>
      <c r="L189" s="51"/>
      <c r="M189" s="51"/>
      <c r="N189" s="51"/>
      <c r="O189" s="51"/>
      <c r="P189" s="51"/>
      <c r="Q189" s="51"/>
      <c r="R189" s="51"/>
      <c r="S189" s="51"/>
      <c r="T189" s="51"/>
      <c r="U189" s="51"/>
      <c r="V189" s="51"/>
      <c r="W189" s="51"/>
      <c r="X189" s="51"/>
      <c r="Y189" s="51"/>
      <c r="Z189" s="51"/>
    </row>
    <row r="190" ht="15.75" customHeight="1">
      <c r="A190" s="51"/>
      <c r="B190" s="11" t="s">
        <v>14</v>
      </c>
      <c r="C190" s="44" t="s">
        <v>224</v>
      </c>
      <c r="D190" s="39" t="s">
        <v>227</v>
      </c>
      <c r="E190" s="20"/>
      <c r="F190" s="41"/>
      <c r="G190" s="42" t="str">
        <f t="shared" si="1"/>
        <v>Por favor seleccionar tipo de funcionalidad</v>
      </c>
      <c r="H190" s="54"/>
      <c r="I190" s="54"/>
      <c r="J190" s="54"/>
      <c r="K190" s="55">
        <f t="shared" si="5"/>
        <v>0</v>
      </c>
      <c r="L190" s="51"/>
      <c r="M190" s="51"/>
      <c r="N190" s="51"/>
      <c r="O190" s="51"/>
      <c r="P190" s="51"/>
      <c r="Q190" s="51"/>
      <c r="R190" s="51"/>
      <c r="S190" s="51"/>
      <c r="T190" s="51"/>
      <c r="U190" s="51"/>
      <c r="V190" s="51"/>
      <c r="W190" s="51"/>
      <c r="X190" s="51"/>
      <c r="Y190" s="51"/>
      <c r="Z190" s="51"/>
    </row>
    <row r="191" ht="15.75" customHeight="1">
      <c r="A191" s="51"/>
      <c r="B191" s="11" t="s">
        <v>14</v>
      </c>
      <c r="C191" s="44" t="s">
        <v>228</v>
      </c>
      <c r="D191" s="39" t="s">
        <v>229</v>
      </c>
      <c r="E191" s="20"/>
      <c r="F191" s="41"/>
      <c r="G191" s="42" t="str">
        <f t="shared" si="1"/>
        <v>Por favor seleccionar tipo de funcionalidad</v>
      </c>
      <c r="H191" s="54"/>
      <c r="I191" s="54"/>
      <c r="J191" s="54"/>
      <c r="K191" s="55">
        <f t="shared" si="5"/>
        <v>0</v>
      </c>
      <c r="L191" s="51"/>
      <c r="M191" s="51"/>
      <c r="N191" s="51"/>
      <c r="O191" s="51"/>
      <c r="P191" s="51"/>
      <c r="Q191" s="51"/>
      <c r="R191" s="51"/>
      <c r="S191" s="51"/>
      <c r="T191" s="51"/>
      <c r="U191" s="51"/>
      <c r="V191" s="51"/>
      <c r="W191" s="51"/>
      <c r="X191" s="51"/>
      <c r="Y191" s="51"/>
      <c r="Z191" s="51"/>
    </row>
    <row r="192" ht="15.75" customHeight="1">
      <c r="A192" s="51"/>
      <c r="B192" s="11" t="s">
        <v>14</v>
      </c>
      <c r="C192" s="44" t="s">
        <v>228</v>
      </c>
      <c r="D192" s="39" t="s">
        <v>230</v>
      </c>
      <c r="E192" s="20"/>
      <c r="F192" s="41"/>
      <c r="G192" s="42" t="str">
        <f t="shared" si="1"/>
        <v>Por favor seleccionar tipo de funcionalidad</v>
      </c>
      <c r="H192" s="54"/>
      <c r="I192" s="54"/>
      <c r="J192" s="54"/>
      <c r="K192" s="55">
        <f t="shared" si="5"/>
        <v>0</v>
      </c>
      <c r="L192" s="51"/>
      <c r="M192" s="51"/>
      <c r="N192" s="51"/>
      <c r="O192" s="51"/>
      <c r="P192" s="51"/>
      <c r="Q192" s="51"/>
      <c r="R192" s="51"/>
      <c r="S192" s="51"/>
      <c r="T192" s="51"/>
      <c r="U192" s="51"/>
      <c r="V192" s="51"/>
      <c r="W192" s="51"/>
      <c r="X192" s="51"/>
      <c r="Y192" s="51"/>
      <c r="Z192" s="51"/>
    </row>
    <row r="193" ht="15.75" customHeight="1">
      <c r="A193" s="51"/>
      <c r="B193" s="11" t="s">
        <v>14</v>
      </c>
      <c r="C193" s="44" t="s">
        <v>228</v>
      </c>
      <c r="D193" s="39" t="s">
        <v>231</v>
      </c>
      <c r="E193" s="20"/>
      <c r="F193" s="41"/>
      <c r="G193" s="42" t="str">
        <f t="shared" si="1"/>
        <v>Por favor seleccionar tipo de funcionalidad</v>
      </c>
      <c r="H193" s="54"/>
      <c r="I193" s="54"/>
      <c r="J193" s="54"/>
      <c r="K193" s="55">
        <f t="shared" si="5"/>
        <v>0</v>
      </c>
      <c r="L193" s="51"/>
      <c r="M193" s="51"/>
      <c r="N193" s="51"/>
      <c r="O193" s="51"/>
      <c r="P193" s="51"/>
      <c r="Q193" s="51"/>
      <c r="R193" s="51"/>
      <c r="S193" s="51"/>
      <c r="T193" s="51"/>
      <c r="U193" s="51"/>
      <c r="V193" s="51"/>
      <c r="W193" s="51"/>
      <c r="X193" s="51"/>
      <c r="Y193" s="51"/>
      <c r="Z193" s="51"/>
    </row>
    <row r="194" ht="15.75" customHeight="1">
      <c r="A194" s="51"/>
      <c r="B194" s="11" t="s">
        <v>14</v>
      </c>
      <c r="C194" s="44" t="s">
        <v>232</v>
      </c>
      <c r="D194" s="39" t="s">
        <v>233</v>
      </c>
      <c r="E194" s="20"/>
      <c r="F194" s="41"/>
      <c r="G194" s="42" t="str">
        <f t="shared" si="1"/>
        <v>Por favor seleccionar tipo de funcionalidad</v>
      </c>
      <c r="H194" s="54"/>
      <c r="I194" s="54"/>
      <c r="J194" s="54"/>
      <c r="K194" s="55">
        <f t="shared" si="5"/>
        <v>0</v>
      </c>
      <c r="L194" s="51"/>
      <c r="M194" s="51"/>
      <c r="N194" s="51"/>
      <c r="O194" s="51"/>
      <c r="P194" s="51"/>
      <c r="Q194" s="51"/>
      <c r="R194" s="51"/>
      <c r="S194" s="51"/>
      <c r="T194" s="51"/>
      <c r="U194" s="51"/>
      <c r="V194" s="51"/>
      <c r="W194" s="51"/>
      <c r="X194" s="51"/>
      <c r="Y194" s="51"/>
      <c r="Z194" s="51"/>
    </row>
    <row r="195" ht="15.75" customHeight="1">
      <c r="A195" s="51"/>
      <c r="B195" s="11" t="s">
        <v>14</v>
      </c>
      <c r="C195" s="44" t="s">
        <v>234</v>
      </c>
      <c r="D195" s="39" t="s">
        <v>235</v>
      </c>
      <c r="E195" s="20"/>
      <c r="F195" s="41"/>
      <c r="G195" s="42" t="str">
        <f t="shared" si="1"/>
        <v>Por favor seleccionar tipo de funcionalidad</v>
      </c>
      <c r="H195" s="54"/>
      <c r="I195" s="54"/>
      <c r="J195" s="54"/>
      <c r="K195" s="55">
        <f t="shared" si="5"/>
        <v>0</v>
      </c>
      <c r="L195" s="51"/>
      <c r="M195" s="51"/>
      <c r="N195" s="51"/>
      <c r="O195" s="51"/>
      <c r="P195" s="51"/>
      <c r="Q195" s="51"/>
      <c r="R195" s="51"/>
      <c r="S195" s="51"/>
      <c r="T195" s="51"/>
      <c r="U195" s="51"/>
      <c r="V195" s="51"/>
      <c r="W195" s="51"/>
      <c r="X195" s="51"/>
      <c r="Y195" s="51"/>
      <c r="Z195" s="51"/>
    </row>
    <row r="196" ht="15.75" customHeight="1">
      <c r="A196" s="51"/>
      <c r="B196" s="11" t="s">
        <v>14</v>
      </c>
      <c r="C196" s="44" t="s">
        <v>234</v>
      </c>
      <c r="D196" s="39" t="s">
        <v>157</v>
      </c>
      <c r="E196" s="24"/>
      <c r="F196" s="41"/>
      <c r="G196" s="42" t="str">
        <f t="shared" si="1"/>
        <v>Por favor seleccionar tipo de funcionalidad</v>
      </c>
      <c r="H196" s="54"/>
      <c r="I196" s="54"/>
      <c r="J196" s="54"/>
      <c r="K196" s="55">
        <f t="shared" si="5"/>
        <v>0</v>
      </c>
      <c r="L196" s="51"/>
      <c r="M196" s="51"/>
      <c r="N196" s="51"/>
      <c r="O196" s="51"/>
      <c r="P196" s="51"/>
      <c r="Q196" s="51"/>
      <c r="R196" s="51"/>
      <c r="S196" s="51"/>
      <c r="T196" s="51"/>
      <c r="U196" s="51"/>
      <c r="V196" s="51"/>
      <c r="W196" s="51"/>
      <c r="X196" s="51"/>
      <c r="Y196" s="51"/>
      <c r="Z196" s="51"/>
    </row>
    <row r="197" ht="15.75" customHeight="1">
      <c r="A197" s="51"/>
      <c r="B197" s="11" t="s">
        <v>14</v>
      </c>
      <c r="C197" s="44" t="s">
        <v>236</v>
      </c>
      <c r="D197" s="39" t="s">
        <v>237</v>
      </c>
      <c r="E197" s="40" t="s">
        <v>238</v>
      </c>
      <c r="F197" s="41"/>
      <c r="G197" s="42" t="str">
        <f t="shared" si="1"/>
        <v>Por favor seleccionar tipo de funcionalidad</v>
      </c>
      <c r="H197" s="54"/>
      <c r="I197" s="54"/>
      <c r="J197" s="54"/>
      <c r="K197" s="55">
        <f t="shared" si="5"/>
        <v>0</v>
      </c>
      <c r="L197" s="51"/>
      <c r="M197" s="51"/>
      <c r="N197" s="51"/>
      <c r="O197" s="51"/>
      <c r="P197" s="51"/>
      <c r="Q197" s="51"/>
      <c r="R197" s="51"/>
      <c r="S197" s="51"/>
      <c r="T197" s="51"/>
      <c r="U197" s="51"/>
      <c r="V197" s="51"/>
      <c r="W197" s="51"/>
      <c r="X197" s="51"/>
      <c r="Y197" s="51"/>
      <c r="Z197" s="51"/>
    </row>
    <row r="198" ht="15.75" customHeight="1">
      <c r="A198" s="51"/>
      <c r="B198" s="11" t="s">
        <v>14</v>
      </c>
      <c r="C198" s="44" t="s">
        <v>236</v>
      </c>
      <c r="D198" s="39" t="s">
        <v>239</v>
      </c>
      <c r="E198" s="20"/>
      <c r="F198" s="41"/>
      <c r="G198" s="42" t="str">
        <f t="shared" si="1"/>
        <v>Por favor seleccionar tipo de funcionalidad</v>
      </c>
      <c r="H198" s="54"/>
      <c r="I198" s="54"/>
      <c r="J198" s="54"/>
      <c r="K198" s="55">
        <f t="shared" si="5"/>
        <v>0</v>
      </c>
      <c r="L198" s="51"/>
      <c r="M198" s="51"/>
      <c r="N198" s="51"/>
      <c r="O198" s="51"/>
      <c r="P198" s="51"/>
      <c r="Q198" s="51"/>
      <c r="R198" s="51"/>
      <c r="S198" s="51"/>
      <c r="T198" s="51"/>
      <c r="U198" s="51"/>
      <c r="V198" s="51"/>
      <c r="W198" s="51"/>
      <c r="X198" s="51"/>
      <c r="Y198" s="51"/>
      <c r="Z198" s="51"/>
    </row>
    <row r="199" ht="15.75" customHeight="1">
      <c r="A199" s="51"/>
      <c r="B199" s="11" t="s">
        <v>14</v>
      </c>
      <c r="C199" s="44" t="s">
        <v>236</v>
      </c>
      <c r="D199" s="39" t="s">
        <v>240</v>
      </c>
      <c r="E199" s="20"/>
      <c r="F199" s="41"/>
      <c r="G199" s="42" t="str">
        <f t="shared" si="1"/>
        <v>Por favor seleccionar tipo de funcionalidad</v>
      </c>
      <c r="H199" s="54"/>
      <c r="I199" s="54"/>
      <c r="J199" s="54"/>
      <c r="K199" s="55">
        <f t="shared" si="5"/>
        <v>0</v>
      </c>
      <c r="L199" s="51"/>
      <c r="M199" s="51"/>
      <c r="N199" s="51"/>
      <c r="O199" s="51"/>
      <c r="P199" s="51"/>
      <c r="Q199" s="51"/>
      <c r="R199" s="51"/>
      <c r="S199" s="51"/>
      <c r="T199" s="51"/>
      <c r="U199" s="51"/>
      <c r="V199" s="51"/>
      <c r="W199" s="51"/>
      <c r="X199" s="51"/>
      <c r="Y199" s="51"/>
      <c r="Z199" s="51"/>
    </row>
    <row r="200" ht="15.75" customHeight="1">
      <c r="A200" s="51"/>
      <c r="B200" s="11" t="s">
        <v>14</v>
      </c>
      <c r="C200" s="44" t="s">
        <v>236</v>
      </c>
      <c r="D200" s="39" t="s">
        <v>241</v>
      </c>
      <c r="E200" s="20"/>
      <c r="F200" s="41"/>
      <c r="G200" s="42" t="str">
        <f t="shared" si="1"/>
        <v>Por favor seleccionar tipo de funcionalidad</v>
      </c>
      <c r="H200" s="54"/>
      <c r="I200" s="54"/>
      <c r="J200" s="54"/>
      <c r="K200" s="55">
        <f t="shared" si="5"/>
        <v>0</v>
      </c>
      <c r="L200" s="51"/>
      <c r="M200" s="51"/>
      <c r="N200" s="51"/>
      <c r="O200" s="51"/>
      <c r="P200" s="51"/>
      <c r="Q200" s="51"/>
      <c r="R200" s="51"/>
      <c r="S200" s="51"/>
      <c r="T200" s="51"/>
      <c r="U200" s="51"/>
      <c r="V200" s="51"/>
      <c r="W200" s="51"/>
      <c r="X200" s="51"/>
      <c r="Y200" s="51"/>
      <c r="Z200" s="51"/>
    </row>
    <row r="201" ht="15.75" customHeight="1">
      <c r="A201" s="51"/>
      <c r="B201" s="11" t="s">
        <v>14</v>
      </c>
      <c r="C201" s="44" t="s">
        <v>236</v>
      </c>
      <c r="D201" s="39" t="s">
        <v>242</v>
      </c>
      <c r="E201" s="20"/>
      <c r="F201" s="41"/>
      <c r="G201" s="42" t="str">
        <f t="shared" si="1"/>
        <v>Por favor seleccionar tipo de funcionalidad</v>
      </c>
      <c r="H201" s="54"/>
      <c r="I201" s="54"/>
      <c r="J201" s="54"/>
      <c r="K201" s="55">
        <f t="shared" si="5"/>
        <v>0</v>
      </c>
      <c r="L201" s="51"/>
      <c r="M201" s="51"/>
      <c r="N201" s="51"/>
      <c r="O201" s="51"/>
      <c r="P201" s="51"/>
      <c r="Q201" s="51"/>
      <c r="R201" s="51"/>
      <c r="S201" s="51"/>
      <c r="T201" s="51"/>
      <c r="U201" s="51"/>
      <c r="V201" s="51"/>
      <c r="W201" s="51"/>
      <c r="X201" s="51"/>
      <c r="Y201" s="51"/>
      <c r="Z201" s="51"/>
    </row>
    <row r="202" ht="15.75" customHeight="1">
      <c r="A202" s="51"/>
      <c r="B202" s="11" t="s">
        <v>14</v>
      </c>
      <c r="C202" s="44" t="s">
        <v>236</v>
      </c>
      <c r="D202" s="39" t="s">
        <v>243</v>
      </c>
      <c r="E202" s="20"/>
      <c r="F202" s="41"/>
      <c r="G202" s="42" t="str">
        <f t="shared" si="1"/>
        <v>Por favor seleccionar tipo de funcionalidad</v>
      </c>
      <c r="H202" s="54"/>
      <c r="I202" s="54"/>
      <c r="J202" s="54"/>
      <c r="K202" s="55">
        <f t="shared" si="5"/>
        <v>0</v>
      </c>
      <c r="L202" s="51"/>
      <c r="M202" s="51"/>
      <c r="N202" s="51"/>
      <c r="O202" s="51"/>
      <c r="P202" s="51"/>
      <c r="Q202" s="51"/>
      <c r="R202" s="51"/>
      <c r="S202" s="51"/>
      <c r="T202" s="51"/>
      <c r="U202" s="51"/>
      <c r="V202" s="51"/>
      <c r="W202" s="51"/>
      <c r="X202" s="51"/>
      <c r="Y202" s="51"/>
      <c r="Z202" s="51"/>
    </row>
    <row r="203" ht="15.75" customHeight="1">
      <c r="A203" s="51"/>
      <c r="B203" s="11" t="s">
        <v>14</v>
      </c>
      <c r="C203" s="44" t="s">
        <v>236</v>
      </c>
      <c r="D203" s="39" t="s">
        <v>244</v>
      </c>
      <c r="E203" s="20"/>
      <c r="F203" s="41"/>
      <c r="G203" s="42" t="str">
        <f t="shared" si="1"/>
        <v>Por favor seleccionar tipo de funcionalidad</v>
      </c>
      <c r="H203" s="54"/>
      <c r="I203" s="54"/>
      <c r="J203" s="54"/>
      <c r="K203" s="55">
        <f t="shared" si="5"/>
        <v>0</v>
      </c>
      <c r="L203" s="51"/>
      <c r="M203" s="51"/>
      <c r="N203" s="51"/>
      <c r="O203" s="51"/>
      <c r="P203" s="51"/>
      <c r="Q203" s="51"/>
      <c r="R203" s="51"/>
      <c r="S203" s="51"/>
      <c r="T203" s="51"/>
      <c r="U203" s="51"/>
      <c r="V203" s="51"/>
      <c r="W203" s="51"/>
      <c r="X203" s="51"/>
      <c r="Y203" s="51"/>
      <c r="Z203" s="51"/>
    </row>
    <row r="204" ht="15.75" customHeight="1">
      <c r="A204" s="51"/>
      <c r="B204" s="11" t="s">
        <v>14</v>
      </c>
      <c r="C204" s="44" t="s">
        <v>236</v>
      </c>
      <c r="D204" s="39" t="s">
        <v>245</v>
      </c>
      <c r="E204" s="20"/>
      <c r="F204" s="41"/>
      <c r="G204" s="42" t="str">
        <f t="shared" si="1"/>
        <v>Por favor seleccionar tipo de funcionalidad</v>
      </c>
      <c r="H204" s="54"/>
      <c r="I204" s="54"/>
      <c r="J204" s="54"/>
      <c r="K204" s="55">
        <f t="shared" si="5"/>
        <v>0</v>
      </c>
      <c r="L204" s="51"/>
      <c r="M204" s="51"/>
      <c r="N204" s="51"/>
      <c r="O204" s="51"/>
      <c r="P204" s="51"/>
      <c r="Q204" s="51"/>
      <c r="R204" s="51"/>
      <c r="S204" s="51"/>
      <c r="T204" s="51"/>
      <c r="U204" s="51"/>
      <c r="V204" s="51"/>
      <c r="W204" s="51"/>
      <c r="X204" s="51"/>
      <c r="Y204" s="51"/>
      <c r="Z204" s="51"/>
    </row>
    <row r="205" ht="15.75" customHeight="1">
      <c r="A205" s="51"/>
      <c r="B205" s="11" t="s">
        <v>14</v>
      </c>
      <c r="C205" s="44" t="s">
        <v>236</v>
      </c>
      <c r="D205" s="39" t="s">
        <v>246</v>
      </c>
      <c r="E205" s="20"/>
      <c r="F205" s="41"/>
      <c r="G205" s="42" t="str">
        <f t="shared" si="1"/>
        <v>Por favor seleccionar tipo de funcionalidad</v>
      </c>
      <c r="H205" s="54"/>
      <c r="I205" s="54"/>
      <c r="J205" s="54"/>
      <c r="K205" s="55">
        <f t="shared" si="5"/>
        <v>0</v>
      </c>
      <c r="L205" s="51"/>
      <c r="M205" s="51"/>
      <c r="N205" s="51"/>
      <c r="O205" s="51"/>
      <c r="P205" s="51"/>
      <c r="Q205" s="51"/>
      <c r="R205" s="51"/>
      <c r="S205" s="51"/>
      <c r="T205" s="51"/>
      <c r="U205" s="51"/>
      <c r="V205" s="51"/>
      <c r="W205" s="51"/>
      <c r="X205" s="51"/>
      <c r="Y205" s="51"/>
      <c r="Z205" s="51"/>
    </row>
    <row r="206" ht="15.75" customHeight="1">
      <c r="A206" s="51"/>
      <c r="B206" s="11" t="s">
        <v>14</v>
      </c>
      <c r="C206" s="44" t="s">
        <v>236</v>
      </c>
      <c r="D206" s="39" t="s">
        <v>247</v>
      </c>
      <c r="E206" s="24"/>
      <c r="F206" s="41"/>
      <c r="G206" s="42" t="str">
        <f t="shared" si="1"/>
        <v>Por favor seleccionar tipo de funcionalidad</v>
      </c>
      <c r="H206" s="54"/>
      <c r="I206" s="54"/>
      <c r="J206" s="54"/>
      <c r="K206" s="55">
        <f t="shared" si="5"/>
        <v>0</v>
      </c>
      <c r="L206" s="51"/>
      <c r="M206" s="51"/>
      <c r="N206" s="51"/>
      <c r="O206" s="51"/>
      <c r="P206" s="51"/>
      <c r="Q206" s="51"/>
      <c r="R206" s="51"/>
      <c r="S206" s="51"/>
      <c r="T206" s="51"/>
      <c r="U206" s="51"/>
      <c r="V206" s="51"/>
      <c r="W206" s="51"/>
      <c r="X206" s="51"/>
      <c r="Y206" s="51"/>
      <c r="Z206" s="51"/>
    </row>
    <row r="207" ht="15.75" customHeight="1">
      <c r="A207" s="51"/>
      <c r="B207" s="11" t="s">
        <v>14</v>
      </c>
      <c r="C207" s="44" t="s">
        <v>248</v>
      </c>
      <c r="D207" s="39" t="s">
        <v>249</v>
      </c>
      <c r="E207" s="39"/>
      <c r="F207" s="41"/>
      <c r="G207" s="42" t="str">
        <f t="shared" si="1"/>
        <v>Por favor seleccionar tipo de funcionalidad</v>
      </c>
      <c r="H207" s="54"/>
      <c r="I207" s="54"/>
      <c r="J207" s="54"/>
      <c r="K207" s="55">
        <f t="shared" si="5"/>
        <v>0</v>
      </c>
      <c r="L207" s="51"/>
      <c r="M207" s="51"/>
      <c r="N207" s="51"/>
      <c r="O207" s="51"/>
      <c r="P207" s="51"/>
      <c r="Q207" s="51"/>
      <c r="R207" s="51"/>
      <c r="S207" s="51"/>
      <c r="T207" s="51"/>
      <c r="U207" s="51"/>
      <c r="V207" s="51"/>
      <c r="W207" s="51"/>
      <c r="X207" s="51"/>
      <c r="Y207" s="51"/>
      <c r="Z207" s="51"/>
    </row>
    <row r="208" ht="15.75" customHeight="1">
      <c r="A208" s="51"/>
      <c r="B208" s="11" t="s">
        <v>14</v>
      </c>
      <c r="C208" s="44" t="s">
        <v>248</v>
      </c>
      <c r="D208" s="39" t="s">
        <v>250</v>
      </c>
      <c r="E208" s="39"/>
      <c r="F208" s="41"/>
      <c r="G208" s="42" t="str">
        <f t="shared" si="1"/>
        <v>Por favor seleccionar tipo de funcionalidad</v>
      </c>
      <c r="H208" s="54"/>
      <c r="I208" s="54"/>
      <c r="J208" s="54"/>
      <c r="K208" s="55">
        <f t="shared" si="5"/>
        <v>0</v>
      </c>
      <c r="L208" s="51"/>
      <c r="M208" s="51"/>
      <c r="N208" s="51"/>
      <c r="O208" s="51"/>
      <c r="P208" s="51"/>
      <c r="Q208" s="51"/>
      <c r="R208" s="51"/>
      <c r="S208" s="51"/>
      <c r="T208" s="51"/>
      <c r="U208" s="51"/>
      <c r="V208" s="51"/>
      <c r="W208" s="51"/>
      <c r="X208" s="51"/>
      <c r="Y208" s="51"/>
      <c r="Z208" s="51"/>
    </row>
    <row r="209" ht="15.75" customHeight="1">
      <c r="A209" s="51"/>
      <c r="B209" s="11" t="s">
        <v>14</v>
      </c>
      <c r="C209" s="44" t="s">
        <v>248</v>
      </c>
      <c r="D209" s="39" t="s">
        <v>251</v>
      </c>
      <c r="E209" s="39"/>
      <c r="F209" s="41"/>
      <c r="G209" s="42" t="str">
        <f t="shared" si="1"/>
        <v>Por favor seleccionar tipo de funcionalidad</v>
      </c>
      <c r="H209" s="54"/>
      <c r="I209" s="54"/>
      <c r="J209" s="54"/>
      <c r="K209" s="55">
        <f t="shared" si="5"/>
        <v>0</v>
      </c>
      <c r="L209" s="51"/>
      <c r="M209" s="51"/>
      <c r="N209" s="51"/>
      <c r="O209" s="51"/>
      <c r="P209" s="51"/>
      <c r="Q209" s="51"/>
      <c r="R209" s="51"/>
      <c r="S209" s="51"/>
      <c r="T209" s="51"/>
      <c r="U209" s="51"/>
      <c r="V209" s="51"/>
      <c r="W209" s="51"/>
      <c r="X209" s="51"/>
      <c r="Y209" s="51"/>
      <c r="Z209" s="51"/>
    </row>
    <row r="210" ht="61.5" customHeight="1">
      <c r="A210" s="51"/>
      <c r="B210" s="11" t="s">
        <v>14</v>
      </c>
      <c r="C210" s="44" t="s">
        <v>248</v>
      </c>
      <c r="D210" s="39" t="s">
        <v>252</v>
      </c>
      <c r="E210" s="39"/>
      <c r="F210" s="41"/>
      <c r="G210" s="42" t="str">
        <f t="shared" si="1"/>
        <v>Por favor seleccionar tipo de funcionalidad</v>
      </c>
      <c r="H210" s="54"/>
      <c r="I210" s="54"/>
      <c r="J210" s="54"/>
      <c r="K210" s="55">
        <f t="shared" si="5"/>
        <v>0</v>
      </c>
      <c r="L210" s="51"/>
      <c r="M210" s="51"/>
      <c r="N210" s="51"/>
      <c r="O210" s="51"/>
      <c r="P210" s="51"/>
      <c r="Q210" s="51"/>
      <c r="R210" s="51"/>
      <c r="S210" s="51"/>
      <c r="T210" s="51"/>
      <c r="U210" s="51"/>
      <c r="V210" s="51"/>
      <c r="W210" s="51"/>
      <c r="X210" s="51"/>
      <c r="Y210" s="51"/>
      <c r="Z210" s="51"/>
    </row>
    <row r="211" ht="67.5" customHeight="1">
      <c r="A211" s="51"/>
      <c r="B211" s="11" t="s">
        <v>14</v>
      </c>
      <c r="C211" s="44" t="s">
        <v>248</v>
      </c>
      <c r="D211" s="39" t="s">
        <v>253</v>
      </c>
      <c r="E211" s="39"/>
      <c r="F211" s="41"/>
      <c r="G211" s="42" t="str">
        <f t="shared" si="1"/>
        <v>Por favor seleccionar tipo de funcionalidad</v>
      </c>
      <c r="H211" s="54"/>
      <c r="I211" s="54"/>
      <c r="J211" s="54"/>
      <c r="K211" s="55">
        <f t="shared" si="5"/>
        <v>0</v>
      </c>
      <c r="L211" s="51"/>
      <c r="M211" s="51"/>
      <c r="N211" s="51"/>
      <c r="O211" s="51"/>
      <c r="P211" s="51"/>
      <c r="Q211" s="51"/>
      <c r="R211" s="51"/>
      <c r="S211" s="51"/>
      <c r="T211" s="51"/>
      <c r="U211" s="51"/>
      <c r="V211" s="51"/>
      <c r="W211" s="51"/>
      <c r="X211" s="51"/>
      <c r="Y211" s="51"/>
      <c r="Z211" s="51"/>
    </row>
    <row r="212" ht="76.5" customHeight="1">
      <c r="A212" s="51"/>
      <c r="B212" s="11" t="s">
        <v>14</v>
      </c>
      <c r="C212" s="44" t="s">
        <v>248</v>
      </c>
      <c r="D212" s="39" t="s">
        <v>254</v>
      </c>
      <c r="E212" s="39"/>
      <c r="F212" s="41"/>
      <c r="G212" s="42" t="str">
        <f t="shared" si="1"/>
        <v>Por favor seleccionar tipo de funcionalidad</v>
      </c>
      <c r="H212" s="54"/>
      <c r="I212" s="54"/>
      <c r="J212" s="54"/>
      <c r="K212" s="55">
        <f t="shared" si="5"/>
        <v>0</v>
      </c>
      <c r="L212" s="51"/>
      <c r="M212" s="51"/>
      <c r="N212" s="51"/>
      <c r="O212" s="51"/>
      <c r="P212" s="51"/>
      <c r="Q212" s="51"/>
      <c r="R212" s="51"/>
      <c r="S212" s="51"/>
      <c r="T212" s="51"/>
      <c r="U212" s="51"/>
      <c r="V212" s="51"/>
      <c r="W212" s="51"/>
      <c r="X212" s="51"/>
      <c r="Y212" s="51"/>
      <c r="Z212" s="51"/>
    </row>
    <row r="213" ht="75.75" customHeight="1">
      <c r="A213" s="51"/>
      <c r="B213" s="11" t="s">
        <v>14</v>
      </c>
      <c r="C213" s="44" t="s">
        <v>248</v>
      </c>
      <c r="D213" s="39" t="s">
        <v>255</v>
      </c>
      <c r="E213" s="39"/>
      <c r="F213" s="41"/>
      <c r="G213" s="42" t="str">
        <f t="shared" si="1"/>
        <v>Por favor seleccionar tipo de funcionalidad</v>
      </c>
      <c r="H213" s="54"/>
      <c r="I213" s="54"/>
      <c r="J213" s="54"/>
      <c r="K213" s="55">
        <f t="shared" si="5"/>
        <v>0</v>
      </c>
      <c r="L213" s="51"/>
      <c r="M213" s="51"/>
      <c r="N213" s="51"/>
      <c r="O213" s="51"/>
      <c r="P213" s="51"/>
      <c r="Q213" s="51"/>
      <c r="R213" s="51"/>
      <c r="S213" s="51"/>
      <c r="T213" s="51"/>
      <c r="U213" s="51"/>
      <c r="V213" s="51"/>
      <c r="W213" s="51"/>
      <c r="X213" s="51"/>
      <c r="Y213" s="51"/>
      <c r="Z213" s="51"/>
    </row>
    <row r="214" ht="73.5" customHeight="1">
      <c r="A214" s="51"/>
      <c r="B214" s="11" t="s">
        <v>14</v>
      </c>
      <c r="C214" s="44" t="s">
        <v>248</v>
      </c>
      <c r="D214" s="39" t="s">
        <v>256</v>
      </c>
      <c r="E214" s="39"/>
      <c r="F214" s="41"/>
      <c r="G214" s="42" t="str">
        <f t="shared" si="1"/>
        <v>Por favor seleccionar tipo de funcionalidad</v>
      </c>
      <c r="H214" s="54"/>
      <c r="I214" s="54"/>
      <c r="J214" s="54"/>
      <c r="K214" s="55">
        <f t="shared" si="5"/>
        <v>0</v>
      </c>
      <c r="L214" s="51"/>
      <c r="M214" s="51"/>
      <c r="N214" s="51"/>
      <c r="O214" s="51"/>
      <c r="P214" s="51"/>
      <c r="Q214" s="51"/>
      <c r="R214" s="51"/>
      <c r="S214" s="51"/>
      <c r="T214" s="51"/>
      <c r="U214" s="51"/>
      <c r="V214" s="51"/>
      <c r="W214" s="51"/>
      <c r="X214" s="51"/>
      <c r="Y214" s="51"/>
      <c r="Z214" s="51"/>
    </row>
    <row r="215" ht="15.75" customHeight="1">
      <c r="A215" s="51"/>
      <c r="B215" s="11" t="s">
        <v>14</v>
      </c>
      <c r="C215" s="44" t="s">
        <v>248</v>
      </c>
      <c r="D215" s="39" t="s">
        <v>257</v>
      </c>
      <c r="E215" s="39"/>
      <c r="F215" s="41"/>
      <c r="G215" s="42" t="str">
        <f t="shared" si="1"/>
        <v>Por favor seleccionar tipo de funcionalidad</v>
      </c>
      <c r="H215" s="54"/>
      <c r="I215" s="54"/>
      <c r="J215" s="54"/>
      <c r="K215" s="55">
        <f t="shared" si="5"/>
        <v>0</v>
      </c>
      <c r="L215" s="51"/>
      <c r="M215" s="51"/>
      <c r="N215" s="51"/>
      <c r="O215" s="51"/>
      <c r="P215" s="51"/>
      <c r="Q215" s="51"/>
      <c r="R215" s="51"/>
      <c r="S215" s="51"/>
      <c r="T215" s="51"/>
      <c r="U215" s="51"/>
      <c r="V215" s="51"/>
      <c r="W215" s="51"/>
      <c r="X215" s="51"/>
      <c r="Y215" s="51"/>
      <c r="Z215" s="51"/>
    </row>
    <row r="216" ht="15.75" customHeight="1">
      <c r="A216" s="51"/>
      <c r="B216" s="11" t="s">
        <v>14</v>
      </c>
      <c r="C216" s="44" t="s">
        <v>258</v>
      </c>
      <c r="D216" s="39" t="s">
        <v>259</v>
      </c>
      <c r="E216" s="40" t="s">
        <v>260</v>
      </c>
      <c r="F216" s="41"/>
      <c r="G216" s="42" t="str">
        <f t="shared" si="1"/>
        <v>Por favor seleccionar tipo de funcionalidad</v>
      </c>
      <c r="H216" s="54"/>
      <c r="I216" s="54"/>
      <c r="J216" s="54"/>
      <c r="K216" s="55">
        <f t="shared" si="5"/>
        <v>0</v>
      </c>
      <c r="L216" s="51"/>
      <c r="M216" s="51"/>
      <c r="N216" s="51"/>
      <c r="O216" s="51"/>
      <c r="P216" s="51"/>
      <c r="Q216" s="51"/>
      <c r="R216" s="51"/>
      <c r="S216" s="51"/>
      <c r="T216" s="51"/>
      <c r="U216" s="51"/>
      <c r="V216" s="51"/>
      <c r="W216" s="51"/>
      <c r="X216" s="51"/>
      <c r="Y216" s="51"/>
      <c r="Z216" s="51"/>
    </row>
    <row r="217" ht="15.75" customHeight="1">
      <c r="A217" s="51"/>
      <c r="B217" s="11" t="s">
        <v>14</v>
      </c>
      <c r="C217" s="44" t="s">
        <v>258</v>
      </c>
      <c r="D217" s="39" t="s">
        <v>261</v>
      </c>
      <c r="E217" s="20"/>
      <c r="F217" s="41"/>
      <c r="G217" s="42" t="str">
        <f t="shared" si="1"/>
        <v>Por favor seleccionar tipo de funcionalidad</v>
      </c>
      <c r="H217" s="54"/>
      <c r="I217" s="54"/>
      <c r="J217" s="54"/>
      <c r="K217" s="55">
        <f t="shared" si="5"/>
        <v>0</v>
      </c>
      <c r="L217" s="51"/>
      <c r="M217" s="51"/>
      <c r="N217" s="51"/>
      <c r="O217" s="51"/>
      <c r="P217" s="51"/>
      <c r="Q217" s="51"/>
      <c r="R217" s="51"/>
      <c r="S217" s="51"/>
      <c r="T217" s="51"/>
      <c r="U217" s="51"/>
      <c r="V217" s="51"/>
      <c r="W217" s="51"/>
      <c r="X217" s="51"/>
      <c r="Y217" s="51"/>
      <c r="Z217" s="51"/>
    </row>
    <row r="218" ht="15.75" customHeight="1">
      <c r="A218" s="51"/>
      <c r="B218" s="11" t="s">
        <v>14</v>
      </c>
      <c r="C218" s="44" t="s">
        <v>258</v>
      </c>
      <c r="D218" s="39" t="s">
        <v>262</v>
      </c>
      <c r="E218" s="20"/>
      <c r="F218" s="41"/>
      <c r="G218" s="42" t="str">
        <f t="shared" si="1"/>
        <v>Por favor seleccionar tipo de funcionalidad</v>
      </c>
      <c r="H218" s="54"/>
      <c r="I218" s="54"/>
      <c r="J218" s="54"/>
      <c r="K218" s="55">
        <f t="shared" si="5"/>
        <v>0</v>
      </c>
      <c r="L218" s="51"/>
      <c r="M218" s="51"/>
      <c r="N218" s="51"/>
      <c r="O218" s="51"/>
      <c r="P218" s="51"/>
      <c r="Q218" s="51"/>
      <c r="R218" s="51"/>
      <c r="S218" s="51"/>
      <c r="T218" s="51"/>
      <c r="U218" s="51"/>
      <c r="V218" s="51"/>
      <c r="W218" s="51"/>
      <c r="X218" s="51"/>
      <c r="Y218" s="51"/>
      <c r="Z218" s="51"/>
    </row>
    <row r="219" ht="79.5" customHeight="1">
      <c r="A219" s="51"/>
      <c r="B219" s="11" t="s">
        <v>14</v>
      </c>
      <c r="C219" s="44" t="s">
        <v>258</v>
      </c>
      <c r="D219" s="39" t="s">
        <v>263</v>
      </c>
      <c r="E219" s="20"/>
      <c r="F219" s="41"/>
      <c r="G219" s="42" t="str">
        <f t="shared" si="1"/>
        <v>Por favor seleccionar tipo de funcionalidad</v>
      </c>
      <c r="H219" s="54"/>
      <c r="I219" s="54"/>
      <c r="J219" s="54"/>
      <c r="K219" s="55">
        <f t="shared" si="5"/>
        <v>0</v>
      </c>
      <c r="L219" s="51"/>
      <c r="M219" s="51"/>
      <c r="N219" s="51"/>
      <c r="O219" s="51"/>
      <c r="P219" s="51"/>
      <c r="Q219" s="51"/>
      <c r="R219" s="51"/>
      <c r="S219" s="51"/>
      <c r="T219" s="51"/>
      <c r="U219" s="51"/>
      <c r="V219" s="51"/>
      <c r="W219" s="51"/>
      <c r="X219" s="51"/>
      <c r="Y219" s="51"/>
      <c r="Z219" s="51"/>
    </row>
    <row r="220" ht="15.75" customHeight="1">
      <c r="A220" s="51"/>
      <c r="B220" s="11" t="s">
        <v>14</v>
      </c>
      <c r="C220" s="44" t="s">
        <v>258</v>
      </c>
      <c r="D220" s="39" t="s">
        <v>264</v>
      </c>
      <c r="E220" s="20"/>
      <c r="F220" s="41"/>
      <c r="G220" s="42" t="str">
        <f t="shared" si="1"/>
        <v>Por favor seleccionar tipo de funcionalidad</v>
      </c>
      <c r="H220" s="54"/>
      <c r="I220" s="54"/>
      <c r="J220" s="54"/>
      <c r="K220" s="55">
        <f t="shared" si="5"/>
        <v>0</v>
      </c>
      <c r="L220" s="51"/>
      <c r="M220" s="51"/>
      <c r="N220" s="51"/>
      <c r="O220" s="51"/>
      <c r="P220" s="51"/>
      <c r="Q220" s="51"/>
      <c r="R220" s="51"/>
      <c r="S220" s="51"/>
      <c r="T220" s="51"/>
      <c r="U220" s="51"/>
      <c r="V220" s="51"/>
      <c r="W220" s="51"/>
      <c r="X220" s="51"/>
      <c r="Y220" s="51"/>
      <c r="Z220" s="51"/>
    </row>
    <row r="221" ht="15.75" customHeight="1">
      <c r="A221" s="51"/>
      <c r="B221" s="11" t="s">
        <v>14</v>
      </c>
      <c r="C221" s="44" t="s">
        <v>258</v>
      </c>
      <c r="D221" s="39" t="s">
        <v>265</v>
      </c>
      <c r="E221" s="20"/>
      <c r="F221" s="41"/>
      <c r="G221" s="42" t="str">
        <f t="shared" si="1"/>
        <v>Por favor seleccionar tipo de funcionalidad</v>
      </c>
      <c r="H221" s="54"/>
      <c r="I221" s="54"/>
      <c r="J221" s="54"/>
      <c r="K221" s="55">
        <f t="shared" si="5"/>
        <v>0</v>
      </c>
      <c r="L221" s="51"/>
      <c r="M221" s="51"/>
      <c r="N221" s="51"/>
      <c r="O221" s="51"/>
      <c r="P221" s="51"/>
      <c r="Q221" s="51"/>
      <c r="R221" s="51"/>
      <c r="S221" s="51"/>
      <c r="T221" s="51"/>
      <c r="U221" s="51"/>
      <c r="V221" s="51"/>
      <c r="W221" s="51"/>
      <c r="X221" s="51"/>
      <c r="Y221" s="51"/>
      <c r="Z221" s="51"/>
    </row>
    <row r="222" ht="15.75" customHeight="1">
      <c r="A222" s="51"/>
      <c r="B222" s="11" t="s">
        <v>14</v>
      </c>
      <c r="C222" s="44" t="s">
        <v>258</v>
      </c>
      <c r="D222" s="39" t="s">
        <v>266</v>
      </c>
      <c r="E222" s="20"/>
      <c r="F222" s="41"/>
      <c r="G222" s="42" t="str">
        <f t="shared" si="1"/>
        <v>Por favor seleccionar tipo de funcionalidad</v>
      </c>
      <c r="H222" s="54"/>
      <c r="I222" s="54"/>
      <c r="J222" s="54"/>
      <c r="K222" s="55">
        <f t="shared" si="5"/>
        <v>0</v>
      </c>
      <c r="L222" s="51"/>
      <c r="M222" s="51"/>
      <c r="N222" s="51"/>
      <c r="O222" s="51"/>
      <c r="P222" s="51"/>
      <c r="Q222" s="51"/>
      <c r="R222" s="51"/>
      <c r="S222" s="51"/>
      <c r="T222" s="51"/>
      <c r="U222" s="51"/>
      <c r="V222" s="51"/>
      <c r="W222" s="51"/>
      <c r="X222" s="51"/>
      <c r="Y222" s="51"/>
      <c r="Z222" s="51"/>
    </row>
    <row r="223" ht="15.75" customHeight="1">
      <c r="A223" s="51"/>
      <c r="B223" s="11" t="s">
        <v>14</v>
      </c>
      <c r="C223" s="44" t="s">
        <v>258</v>
      </c>
      <c r="D223" s="39" t="s">
        <v>267</v>
      </c>
      <c r="E223" s="20"/>
      <c r="F223" s="41"/>
      <c r="G223" s="42" t="str">
        <f t="shared" si="1"/>
        <v>Por favor seleccionar tipo de funcionalidad</v>
      </c>
      <c r="H223" s="54"/>
      <c r="I223" s="54"/>
      <c r="J223" s="54"/>
      <c r="K223" s="55">
        <f t="shared" si="5"/>
        <v>0</v>
      </c>
      <c r="L223" s="51"/>
      <c r="M223" s="51"/>
      <c r="N223" s="51"/>
      <c r="O223" s="51"/>
      <c r="P223" s="51"/>
      <c r="Q223" s="51"/>
      <c r="R223" s="51"/>
      <c r="S223" s="51"/>
      <c r="T223" s="51"/>
      <c r="U223" s="51"/>
      <c r="V223" s="51"/>
      <c r="W223" s="51"/>
      <c r="X223" s="51"/>
      <c r="Y223" s="51"/>
      <c r="Z223" s="51"/>
    </row>
    <row r="224" ht="15.75" customHeight="1">
      <c r="A224" s="51"/>
      <c r="B224" s="11" t="s">
        <v>14</v>
      </c>
      <c r="C224" s="44" t="s">
        <v>258</v>
      </c>
      <c r="D224" s="39" t="s">
        <v>268</v>
      </c>
      <c r="E224" s="20"/>
      <c r="F224" s="41"/>
      <c r="G224" s="42" t="str">
        <f t="shared" si="1"/>
        <v>Por favor seleccionar tipo de funcionalidad</v>
      </c>
      <c r="H224" s="54"/>
      <c r="I224" s="54"/>
      <c r="J224" s="54"/>
      <c r="K224" s="55">
        <f t="shared" si="5"/>
        <v>0</v>
      </c>
      <c r="L224" s="51"/>
      <c r="M224" s="51"/>
      <c r="N224" s="51"/>
      <c r="O224" s="51"/>
      <c r="P224" s="51"/>
      <c r="Q224" s="51"/>
      <c r="R224" s="51"/>
      <c r="S224" s="51"/>
      <c r="T224" s="51"/>
      <c r="U224" s="51"/>
      <c r="V224" s="51"/>
      <c r="W224" s="51"/>
      <c r="X224" s="51"/>
      <c r="Y224" s="51"/>
      <c r="Z224" s="51"/>
    </row>
    <row r="225" ht="15.75" customHeight="1">
      <c r="A225" s="51"/>
      <c r="B225" s="11" t="s">
        <v>14</v>
      </c>
      <c r="C225" s="44" t="s">
        <v>258</v>
      </c>
      <c r="D225" s="39" t="s">
        <v>269</v>
      </c>
      <c r="E225" s="24"/>
      <c r="F225" s="41"/>
      <c r="G225" s="42" t="str">
        <f t="shared" si="1"/>
        <v>Por favor seleccionar tipo de funcionalidad</v>
      </c>
      <c r="H225" s="54"/>
      <c r="I225" s="54"/>
      <c r="J225" s="54"/>
      <c r="K225" s="55">
        <f t="shared" si="5"/>
        <v>0</v>
      </c>
      <c r="L225" s="51"/>
      <c r="M225" s="51"/>
      <c r="N225" s="51"/>
      <c r="O225" s="51"/>
      <c r="P225" s="51"/>
      <c r="Q225" s="51"/>
      <c r="R225" s="51"/>
      <c r="S225" s="51"/>
      <c r="T225" s="51"/>
      <c r="U225" s="51"/>
      <c r="V225" s="51"/>
      <c r="W225" s="51"/>
      <c r="X225" s="51"/>
      <c r="Y225" s="51"/>
      <c r="Z225" s="51"/>
    </row>
    <row r="226" ht="15.75" customHeight="1">
      <c r="A226" s="51"/>
      <c r="B226" s="11" t="s">
        <v>14</v>
      </c>
      <c r="C226" s="44" t="s">
        <v>270</v>
      </c>
      <c r="D226" s="39" t="s">
        <v>271</v>
      </c>
      <c r="E226" s="39" t="s">
        <v>272</v>
      </c>
      <c r="F226" s="41"/>
      <c r="G226" s="42" t="str">
        <f t="shared" si="1"/>
        <v>Por favor seleccionar tipo de funcionalidad</v>
      </c>
      <c r="H226" s="54"/>
      <c r="I226" s="54"/>
      <c r="J226" s="54"/>
      <c r="K226" s="55">
        <f t="shared" si="5"/>
        <v>0</v>
      </c>
      <c r="L226" s="51"/>
      <c r="M226" s="51"/>
      <c r="N226" s="51"/>
      <c r="O226" s="51"/>
      <c r="P226" s="51"/>
      <c r="Q226" s="51"/>
      <c r="R226" s="51"/>
      <c r="S226" s="51"/>
      <c r="T226" s="51"/>
      <c r="U226" s="51"/>
      <c r="V226" s="51"/>
      <c r="W226" s="51"/>
      <c r="X226" s="51"/>
      <c r="Y226" s="51"/>
      <c r="Z226" s="51"/>
    </row>
    <row r="227" ht="15.75" customHeight="1">
      <c r="A227" s="51"/>
      <c r="B227" s="11" t="s">
        <v>273</v>
      </c>
      <c r="C227" s="44" t="s">
        <v>274</v>
      </c>
      <c r="D227" s="44" t="s">
        <v>275</v>
      </c>
      <c r="E227" s="40" t="s">
        <v>276</v>
      </c>
      <c r="F227" s="41"/>
      <c r="G227" s="42" t="str">
        <f t="shared" si="1"/>
        <v>Por favor seleccionar tipo de funcionalidad</v>
      </c>
      <c r="H227" s="54"/>
      <c r="I227" s="54"/>
      <c r="J227" s="54"/>
      <c r="K227" s="55">
        <f t="shared" ref="K227:K236" si="6">+IF(G63=$C$43,$F$56,IF(G63=$C$44,$F$56*75%,IF(G63=$C$45,$F$56*50%,IF(G63=$C$46,$F$56*0%,0%))))</f>
        <v>0</v>
      </c>
      <c r="L227" s="51"/>
      <c r="M227" s="51"/>
      <c r="N227" s="51"/>
      <c r="O227" s="51"/>
      <c r="P227" s="51"/>
      <c r="Q227" s="51"/>
      <c r="R227" s="51"/>
      <c r="S227" s="51"/>
      <c r="T227" s="51"/>
      <c r="U227" s="51"/>
      <c r="V227" s="51"/>
      <c r="W227" s="51"/>
      <c r="X227" s="51"/>
      <c r="Y227" s="51"/>
      <c r="Z227" s="51"/>
    </row>
    <row r="228" ht="15.75" customHeight="1">
      <c r="A228" s="51"/>
      <c r="B228" s="11" t="s">
        <v>273</v>
      </c>
      <c r="C228" s="44" t="s">
        <v>274</v>
      </c>
      <c r="D228" s="44" t="s">
        <v>277</v>
      </c>
      <c r="E228" s="20"/>
      <c r="F228" s="41"/>
      <c r="G228" s="42" t="str">
        <f t="shared" si="1"/>
        <v>Por favor seleccionar tipo de funcionalidad</v>
      </c>
      <c r="H228" s="54"/>
      <c r="I228" s="54"/>
      <c r="J228" s="54"/>
      <c r="K228" s="55">
        <f t="shared" si="6"/>
        <v>0</v>
      </c>
      <c r="L228" s="51"/>
      <c r="M228" s="51"/>
      <c r="N228" s="51"/>
      <c r="O228" s="51"/>
      <c r="P228" s="51"/>
      <c r="Q228" s="51"/>
      <c r="R228" s="51"/>
      <c r="S228" s="51"/>
      <c r="T228" s="51"/>
      <c r="U228" s="51"/>
      <c r="V228" s="51"/>
      <c r="W228" s="51"/>
      <c r="X228" s="51"/>
      <c r="Y228" s="51"/>
      <c r="Z228" s="51"/>
    </row>
    <row r="229" ht="15.75" customHeight="1">
      <c r="A229" s="51"/>
      <c r="B229" s="11" t="s">
        <v>273</v>
      </c>
      <c r="C229" s="44" t="s">
        <v>274</v>
      </c>
      <c r="D229" s="44" t="s">
        <v>278</v>
      </c>
      <c r="E229" s="20"/>
      <c r="F229" s="41"/>
      <c r="G229" s="42" t="str">
        <f t="shared" si="1"/>
        <v>Por favor seleccionar tipo de funcionalidad</v>
      </c>
      <c r="H229" s="54"/>
      <c r="I229" s="54"/>
      <c r="J229" s="54"/>
      <c r="K229" s="55">
        <f t="shared" si="6"/>
        <v>0</v>
      </c>
      <c r="L229" s="51"/>
      <c r="M229" s="51"/>
      <c r="N229" s="51"/>
      <c r="O229" s="51"/>
      <c r="P229" s="51"/>
      <c r="Q229" s="51"/>
      <c r="R229" s="51"/>
      <c r="S229" s="51"/>
      <c r="T229" s="51"/>
      <c r="U229" s="51"/>
      <c r="V229" s="51"/>
      <c r="W229" s="51"/>
      <c r="X229" s="51"/>
      <c r="Y229" s="51"/>
      <c r="Z229" s="51"/>
    </row>
    <row r="230" ht="15.75" customHeight="1">
      <c r="A230" s="51"/>
      <c r="B230" s="11" t="s">
        <v>273</v>
      </c>
      <c r="C230" s="44" t="s">
        <v>274</v>
      </c>
      <c r="D230" s="44" t="s">
        <v>279</v>
      </c>
      <c r="E230" s="20"/>
      <c r="F230" s="41"/>
      <c r="G230" s="42" t="str">
        <f t="shared" si="1"/>
        <v>Por favor seleccionar tipo de funcionalidad</v>
      </c>
      <c r="H230" s="54"/>
      <c r="I230" s="54"/>
      <c r="J230" s="54"/>
      <c r="K230" s="55">
        <f t="shared" si="6"/>
        <v>0</v>
      </c>
      <c r="L230" s="51"/>
      <c r="M230" s="51"/>
      <c r="N230" s="51"/>
      <c r="O230" s="51"/>
      <c r="P230" s="51"/>
      <c r="Q230" s="51"/>
      <c r="R230" s="51"/>
      <c r="S230" s="51"/>
      <c r="T230" s="51"/>
      <c r="U230" s="51"/>
      <c r="V230" s="51"/>
      <c r="W230" s="51"/>
      <c r="X230" s="51"/>
      <c r="Y230" s="51"/>
      <c r="Z230" s="51"/>
    </row>
    <row r="231" ht="15.75" customHeight="1">
      <c r="A231" s="51"/>
      <c r="B231" s="11" t="s">
        <v>273</v>
      </c>
      <c r="C231" s="44" t="s">
        <v>274</v>
      </c>
      <c r="D231" s="44" t="s">
        <v>280</v>
      </c>
      <c r="E231" s="20"/>
      <c r="F231" s="41"/>
      <c r="G231" s="42" t="str">
        <f t="shared" si="1"/>
        <v>Por favor seleccionar tipo de funcionalidad</v>
      </c>
      <c r="H231" s="54"/>
      <c r="I231" s="54"/>
      <c r="J231" s="54"/>
      <c r="K231" s="55">
        <f t="shared" si="6"/>
        <v>0</v>
      </c>
      <c r="L231" s="51"/>
      <c r="M231" s="51"/>
      <c r="N231" s="51"/>
      <c r="O231" s="51"/>
      <c r="P231" s="51"/>
      <c r="Q231" s="51"/>
      <c r="R231" s="51"/>
      <c r="S231" s="51"/>
      <c r="T231" s="51"/>
      <c r="U231" s="51"/>
      <c r="V231" s="51"/>
      <c r="W231" s="51"/>
      <c r="X231" s="51"/>
      <c r="Y231" s="51"/>
      <c r="Z231" s="51"/>
    </row>
    <row r="232" ht="67.5" customHeight="1">
      <c r="A232" s="51"/>
      <c r="B232" s="11" t="s">
        <v>273</v>
      </c>
      <c r="C232" s="44" t="s">
        <v>274</v>
      </c>
      <c r="D232" s="44" t="s">
        <v>281</v>
      </c>
      <c r="E232" s="20"/>
      <c r="F232" s="41"/>
      <c r="G232" s="42" t="str">
        <f t="shared" si="1"/>
        <v>Por favor seleccionar tipo de funcionalidad</v>
      </c>
      <c r="H232" s="54"/>
      <c r="I232" s="54"/>
      <c r="J232" s="54"/>
      <c r="K232" s="55">
        <f t="shared" si="6"/>
        <v>0</v>
      </c>
      <c r="L232" s="51"/>
      <c r="M232" s="51"/>
      <c r="N232" s="51"/>
      <c r="O232" s="51"/>
      <c r="P232" s="51"/>
      <c r="Q232" s="51"/>
      <c r="R232" s="51"/>
      <c r="S232" s="51"/>
      <c r="T232" s="51"/>
      <c r="U232" s="51"/>
      <c r="V232" s="51"/>
      <c r="W232" s="51"/>
      <c r="X232" s="51"/>
      <c r="Y232" s="51"/>
      <c r="Z232" s="51"/>
    </row>
    <row r="233" ht="15.75" customHeight="1">
      <c r="A233" s="51"/>
      <c r="B233" s="11" t="s">
        <v>273</v>
      </c>
      <c r="C233" s="44" t="s">
        <v>282</v>
      </c>
      <c r="D233" s="39" t="s">
        <v>283</v>
      </c>
      <c r="E233" s="20"/>
      <c r="F233" s="41"/>
      <c r="G233" s="42" t="str">
        <f t="shared" si="1"/>
        <v>Por favor seleccionar tipo de funcionalidad</v>
      </c>
      <c r="H233" s="54"/>
      <c r="I233" s="54"/>
      <c r="J233" s="54"/>
      <c r="K233" s="55">
        <f t="shared" si="6"/>
        <v>0</v>
      </c>
      <c r="L233" s="51"/>
      <c r="M233" s="51"/>
      <c r="N233" s="51"/>
      <c r="O233" s="51"/>
      <c r="P233" s="51"/>
      <c r="Q233" s="51"/>
      <c r="R233" s="51"/>
      <c r="S233" s="51"/>
      <c r="T233" s="51"/>
      <c r="U233" s="51"/>
      <c r="V233" s="51"/>
      <c r="W233" s="51"/>
      <c r="X233" s="51"/>
      <c r="Y233" s="51"/>
      <c r="Z233" s="51"/>
    </row>
    <row r="234" ht="15.75" customHeight="1">
      <c r="A234" s="51"/>
      <c r="B234" s="11" t="s">
        <v>273</v>
      </c>
      <c r="C234" s="44" t="s">
        <v>282</v>
      </c>
      <c r="D234" s="39" t="s">
        <v>284</v>
      </c>
      <c r="E234" s="20"/>
      <c r="F234" s="41"/>
      <c r="G234" s="42" t="str">
        <f t="shared" si="1"/>
        <v>Por favor seleccionar tipo de funcionalidad</v>
      </c>
      <c r="H234" s="54"/>
      <c r="I234" s="54"/>
      <c r="J234" s="54"/>
      <c r="K234" s="55">
        <f t="shared" si="6"/>
        <v>0</v>
      </c>
      <c r="L234" s="51"/>
      <c r="M234" s="51"/>
      <c r="N234" s="51"/>
      <c r="O234" s="51"/>
      <c r="P234" s="51"/>
      <c r="Q234" s="51"/>
      <c r="R234" s="51"/>
      <c r="S234" s="51"/>
      <c r="T234" s="51"/>
      <c r="U234" s="51"/>
      <c r="V234" s="51"/>
      <c r="W234" s="51"/>
      <c r="X234" s="51"/>
      <c r="Y234" s="51"/>
      <c r="Z234" s="51"/>
    </row>
    <row r="235" ht="15.75" customHeight="1">
      <c r="A235" s="51"/>
      <c r="B235" s="11" t="s">
        <v>273</v>
      </c>
      <c r="C235" s="44" t="s">
        <v>282</v>
      </c>
      <c r="D235" s="39" t="s">
        <v>285</v>
      </c>
      <c r="E235" s="20"/>
      <c r="F235" s="41"/>
      <c r="G235" s="42" t="str">
        <f t="shared" si="1"/>
        <v>Por favor seleccionar tipo de funcionalidad</v>
      </c>
      <c r="H235" s="54"/>
      <c r="I235" s="54"/>
      <c r="J235" s="54"/>
      <c r="K235" s="55">
        <f t="shared" si="6"/>
        <v>0</v>
      </c>
      <c r="L235" s="51"/>
      <c r="M235" s="51"/>
      <c r="N235" s="51"/>
      <c r="O235" s="51"/>
      <c r="P235" s="51"/>
      <c r="Q235" s="51"/>
      <c r="R235" s="51"/>
      <c r="S235" s="51"/>
      <c r="T235" s="51"/>
      <c r="U235" s="51"/>
      <c r="V235" s="51"/>
      <c r="W235" s="51"/>
      <c r="X235" s="51"/>
      <c r="Y235" s="51"/>
      <c r="Z235" s="51"/>
    </row>
    <row r="236" ht="15.75" customHeight="1">
      <c r="A236" s="51"/>
      <c r="B236" s="11" t="s">
        <v>273</v>
      </c>
      <c r="C236" s="44" t="s">
        <v>282</v>
      </c>
      <c r="D236" s="39" t="s">
        <v>286</v>
      </c>
      <c r="E236" s="24"/>
      <c r="F236" s="41"/>
      <c r="G236" s="42" t="str">
        <f t="shared" si="1"/>
        <v>Por favor seleccionar tipo de funcionalidad</v>
      </c>
      <c r="H236" s="54"/>
      <c r="I236" s="54"/>
      <c r="J236" s="54"/>
      <c r="K236" s="55">
        <f t="shared" si="6"/>
        <v>0</v>
      </c>
      <c r="L236" s="51"/>
      <c r="M236" s="51"/>
      <c r="N236" s="51"/>
      <c r="O236" s="51"/>
      <c r="P236" s="51"/>
      <c r="Q236" s="51"/>
      <c r="R236" s="51"/>
      <c r="S236" s="51"/>
      <c r="T236" s="51"/>
      <c r="U236" s="51"/>
      <c r="V236" s="51"/>
      <c r="W236" s="51"/>
      <c r="X236" s="51"/>
      <c r="Y236" s="51"/>
      <c r="Z236" s="51"/>
    </row>
    <row r="237" ht="15.75" customHeight="1">
      <c r="A237" s="51"/>
      <c r="B237" s="11" t="s">
        <v>16</v>
      </c>
      <c r="C237" s="44" t="s">
        <v>287</v>
      </c>
      <c r="D237" s="39" t="s">
        <v>288</v>
      </c>
      <c r="E237" s="40" t="s">
        <v>289</v>
      </c>
      <c r="F237" s="41"/>
      <c r="G237" s="42" t="str">
        <f t="shared" si="1"/>
        <v>Por favor seleccionar tipo de funcionalidad</v>
      </c>
      <c r="H237" s="54"/>
      <c r="I237" s="54"/>
      <c r="J237" s="54"/>
      <c r="K237" s="55">
        <f t="shared" ref="K237:K241" si="7">+IF(G63=$C$43,$F$53,IF(G63=$C$44,$F$53*75%,IF(G63=$C$45,$F$53*50%,IF(G63=$C$46,$F$53*0%,0%))))</f>
        <v>0</v>
      </c>
      <c r="L237" s="51"/>
      <c r="M237" s="51"/>
      <c r="N237" s="51"/>
      <c r="O237" s="51"/>
      <c r="P237" s="51"/>
      <c r="Q237" s="51"/>
      <c r="R237" s="51"/>
      <c r="S237" s="51"/>
      <c r="T237" s="51"/>
      <c r="U237" s="51"/>
      <c r="V237" s="51"/>
      <c r="W237" s="51"/>
      <c r="X237" s="51"/>
      <c r="Y237" s="51"/>
      <c r="Z237" s="51"/>
    </row>
    <row r="238" ht="15.75" customHeight="1">
      <c r="A238" s="51"/>
      <c r="B238" s="11" t="s">
        <v>16</v>
      </c>
      <c r="C238" s="44" t="s">
        <v>290</v>
      </c>
      <c r="D238" s="39" t="s">
        <v>291</v>
      </c>
      <c r="E238" s="20"/>
      <c r="F238" s="41"/>
      <c r="G238" s="42" t="str">
        <f t="shared" si="1"/>
        <v>Por favor seleccionar tipo de funcionalidad</v>
      </c>
      <c r="H238" s="54"/>
      <c r="I238" s="54"/>
      <c r="J238" s="54"/>
      <c r="K238" s="55">
        <f t="shared" si="7"/>
        <v>0</v>
      </c>
      <c r="L238" s="51"/>
      <c r="M238" s="51"/>
      <c r="N238" s="51"/>
      <c r="O238" s="51"/>
      <c r="P238" s="51"/>
      <c r="Q238" s="51"/>
      <c r="R238" s="51"/>
      <c r="S238" s="51"/>
      <c r="T238" s="51"/>
      <c r="U238" s="51"/>
      <c r="V238" s="51"/>
      <c r="W238" s="51"/>
      <c r="X238" s="51"/>
      <c r="Y238" s="51"/>
      <c r="Z238" s="51"/>
    </row>
    <row r="239" ht="15.75" customHeight="1">
      <c r="A239" s="51"/>
      <c r="B239" s="11" t="s">
        <v>16</v>
      </c>
      <c r="C239" s="44" t="s">
        <v>292</v>
      </c>
      <c r="D239" s="39" t="s">
        <v>293</v>
      </c>
      <c r="E239" s="20"/>
      <c r="F239" s="41"/>
      <c r="G239" s="42" t="str">
        <f t="shared" si="1"/>
        <v>Por favor seleccionar tipo de funcionalidad</v>
      </c>
      <c r="H239" s="54"/>
      <c r="I239" s="54"/>
      <c r="J239" s="54"/>
      <c r="K239" s="55">
        <f t="shared" si="7"/>
        <v>0</v>
      </c>
      <c r="L239" s="51"/>
      <c r="M239" s="51"/>
      <c r="N239" s="51"/>
      <c r="O239" s="51"/>
      <c r="P239" s="51"/>
      <c r="Q239" s="51"/>
      <c r="R239" s="51"/>
      <c r="S239" s="51"/>
      <c r="T239" s="51"/>
      <c r="U239" s="51"/>
      <c r="V239" s="51"/>
      <c r="W239" s="51"/>
      <c r="X239" s="51"/>
      <c r="Y239" s="51"/>
      <c r="Z239" s="51"/>
    </row>
    <row r="240" ht="15.75" customHeight="1">
      <c r="A240" s="51"/>
      <c r="B240" s="11" t="s">
        <v>16</v>
      </c>
      <c r="C240" s="44" t="s">
        <v>294</v>
      </c>
      <c r="D240" s="39" t="s">
        <v>295</v>
      </c>
      <c r="E240" s="20"/>
      <c r="F240" s="41"/>
      <c r="G240" s="42" t="str">
        <f t="shared" si="1"/>
        <v>Por favor seleccionar tipo de funcionalidad</v>
      </c>
      <c r="H240" s="54"/>
      <c r="I240" s="54"/>
      <c r="J240" s="54"/>
      <c r="K240" s="55">
        <f t="shared" si="7"/>
        <v>0</v>
      </c>
      <c r="L240" s="51"/>
      <c r="M240" s="51"/>
      <c r="N240" s="51"/>
      <c r="O240" s="51"/>
      <c r="P240" s="51"/>
      <c r="Q240" s="51"/>
      <c r="R240" s="51"/>
      <c r="S240" s="51"/>
      <c r="T240" s="51"/>
      <c r="U240" s="51"/>
      <c r="V240" s="51"/>
      <c r="W240" s="51"/>
      <c r="X240" s="51"/>
      <c r="Y240" s="51"/>
      <c r="Z240" s="51"/>
    </row>
    <row r="241" ht="15.75" customHeight="1">
      <c r="A241" s="51"/>
      <c r="B241" s="11" t="s">
        <v>16</v>
      </c>
      <c r="C241" s="44" t="s">
        <v>296</v>
      </c>
      <c r="D241" s="39" t="s">
        <v>297</v>
      </c>
      <c r="E241" s="24"/>
      <c r="F241" s="41"/>
      <c r="G241" s="42" t="str">
        <f t="shared" si="1"/>
        <v>Por favor seleccionar tipo de funcionalidad</v>
      </c>
      <c r="H241" s="54"/>
      <c r="I241" s="54"/>
      <c r="J241" s="54"/>
      <c r="K241" s="55">
        <f t="shared" si="7"/>
        <v>0</v>
      </c>
      <c r="L241" s="51"/>
      <c r="M241" s="51"/>
      <c r="N241" s="51"/>
      <c r="O241" s="51"/>
      <c r="P241" s="51"/>
      <c r="Q241" s="51"/>
      <c r="R241" s="51"/>
      <c r="S241" s="51"/>
      <c r="T241" s="51"/>
      <c r="U241" s="51"/>
      <c r="V241" s="51"/>
      <c r="W241" s="51"/>
      <c r="X241" s="51"/>
      <c r="Y241" s="51"/>
      <c r="Z241" s="51"/>
    </row>
    <row r="242" ht="15.75" customHeight="1">
      <c r="A242" s="51"/>
      <c r="B242" s="11" t="s">
        <v>298</v>
      </c>
      <c r="C242" s="44" t="s">
        <v>299</v>
      </c>
      <c r="D242" s="39" t="s">
        <v>300</v>
      </c>
      <c r="E242" s="40" t="s">
        <v>301</v>
      </c>
      <c r="F242" s="41"/>
      <c r="G242" s="42" t="str">
        <f t="shared" si="1"/>
        <v>Por favor seleccionar tipo de funcionalidad</v>
      </c>
      <c r="H242" s="54"/>
      <c r="I242" s="54"/>
      <c r="J242" s="54"/>
      <c r="K242" s="55">
        <f t="shared" ref="K242:K243" si="8">+IF(G63=$C$43,$F$57,IF(G63=$C$44,$F$57*75%,IF(G63=$C$45,$F$57*50%,IF(G63=$C$46,$F$57*0%,0%))))</f>
        <v>0</v>
      </c>
      <c r="L242" s="51"/>
      <c r="M242" s="51"/>
      <c r="N242" s="51"/>
      <c r="O242" s="51"/>
      <c r="P242" s="51"/>
      <c r="Q242" s="51"/>
      <c r="R242" s="51"/>
      <c r="S242" s="51"/>
      <c r="T242" s="51"/>
      <c r="U242" s="51"/>
      <c r="V242" s="51"/>
      <c r="W242" s="51"/>
      <c r="X242" s="51"/>
      <c r="Y242" s="51"/>
      <c r="Z242" s="51"/>
    </row>
    <row r="243" ht="15.75" customHeight="1">
      <c r="A243" s="51"/>
      <c r="B243" s="11" t="s">
        <v>298</v>
      </c>
      <c r="C243" s="44" t="s">
        <v>302</v>
      </c>
      <c r="D243" s="39" t="s">
        <v>303</v>
      </c>
      <c r="E243" s="24"/>
      <c r="F243" s="41"/>
      <c r="G243" s="42" t="str">
        <f t="shared" si="1"/>
        <v>Por favor seleccionar tipo de funcionalidad</v>
      </c>
      <c r="H243" s="54"/>
      <c r="I243" s="54"/>
      <c r="J243" s="54"/>
      <c r="K243" s="55">
        <f t="shared" si="8"/>
        <v>0</v>
      </c>
      <c r="L243" s="51"/>
      <c r="M243" s="51"/>
      <c r="N243" s="51"/>
      <c r="O243" s="51"/>
      <c r="P243" s="51"/>
      <c r="Q243" s="51"/>
      <c r="R243" s="51"/>
      <c r="S243" s="51"/>
      <c r="T243" s="51"/>
      <c r="U243" s="51"/>
      <c r="V243" s="51"/>
      <c r="W243" s="51"/>
      <c r="X243" s="51"/>
      <c r="Y243" s="51"/>
      <c r="Z243" s="51"/>
    </row>
    <row r="244" ht="15.75" customHeight="1">
      <c r="A244" s="51"/>
      <c r="B244" s="11" t="s">
        <v>304</v>
      </c>
      <c r="C244" s="44" t="s">
        <v>305</v>
      </c>
      <c r="D244" s="39" t="s">
        <v>306</v>
      </c>
      <c r="E244" s="40" t="s">
        <v>307</v>
      </c>
      <c r="F244" s="41"/>
      <c r="G244" s="42" t="str">
        <f t="shared" si="1"/>
        <v>Por favor seleccionar tipo de funcionalidad</v>
      </c>
      <c r="H244" s="54"/>
      <c r="I244" s="54"/>
      <c r="J244" s="54"/>
      <c r="K244" s="55">
        <f t="shared" ref="K244:K249" si="9">+IF(G63=$C$43,$F$55,IF(G63=$C$44,$F$55*75%,IF(G63=$C$45,$F$55*50%,IF(G63=$C$46,$F$55*0%,0%))))</f>
        <v>0</v>
      </c>
      <c r="L244" s="51"/>
      <c r="M244" s="51"/>
      <c r="N244" s="51"/>
      <c r="O244" s="51"/>
      <c r="P244" s="51"/>
      <c r="Q244" s="51"/>
      <c r="R244" s="51"/>
      <c r="S244" s="51"/>
      <c r="T244" s="51"/>
      <c r="U244" s="51"/>
      <c r="V244" s="51"/>
      <c r="W244" s="51"/>
      <c r="X244" s="51"/>
      <c r="Y244" s="51"/>
      <c r="Z244" s="51"/>
    </row>
    <row r="245" ht="15.75" customHeight="1">
      <c r="A245" s="51"/>
      <c r="B245" s="11" t="s">
        <v>304</v>
      </c>
      <c r="C245" s="44" t="s">
        <v>308</v>
      </c>
      <c r="D245" s="39" t="s">
        <v>309</v>
      </c>
      <c r="E245" s="20"/>
      <c r="F245" s="41"/>
      <c r="G245" s="42" t="str">
        <f t="shared" si="1"/>
        <v>Por favor seleccionar tipo de funcionalidad</v>
      </c>
      <c r="H245" s="54"/>
      <c r="I245" s="54"/>
      <c r="J245" s="54"/>
      <c r="K245" s="55">
        <f t="shared" si="9"/>
        <v>0</v>
      </c>
      <c r="L245" s="51"/>
      <c r="M245" s="51"/>
      <c r="N245" s="51"/>
      <c r="O245" s="51"/>
      <c r="P245" s="51"/>
      <c r="Q245" s="51"/>
      <c r="R245" s="51"/>
      <c r="S245" s="51"/>
      <c r="T245" s="51"/>
      <c r="U245" s="51"/>
      <c r="V245" s="51"/>
      <c r="W245" s="51"/>
      <c r="X245" s="51"/>
      <c r="Y245" s="51"/>
      <c r="Z245" s="51"/>
    </row>
    <row r="246" ht="15.75" customHeight="1">
      <c r="A246" s="51"/>
      <c r="B246" s="11" t="s">
        <v>304</v>
      </c>
      <c r="C246" s="44" t="s">
        <v>310</v>
      </c>
      <c r="D246" s="39" t="s">
        <v>311</v>
      </c>
      <c r="E246" s="20"/>
      <c r="F246" s="41"/>
      <c r="G246" s="42" t="str">
        <f t="shared" si="1"/>
        <v>Por favor seleccionar tipo de funcionalidad</v>
      </c>
      <c r="H246" s="54"/>
      <c r="I246" s="54"/>
      <c r="J246" s="54"/>
      <c r="K246" s="55">
        <f t="shared" si="9"/>
        <v>0</v>
      </c>
      <c r="L246" s="51"/>
      <c r="M246" s="51"/>
      <c r="N246" s="51"/>
      <c r="O246" s="51"/>
      <c r="P246" s="51"/>
      <c r="Q246" s="51"/>
      <c r="R246" s="51"/>
      <c r="S246" s="51"/>
      <c r="T246" s="51"/>
      <c r="U246" s="51"/>
      <c r="V246" s="51"/>
      <c r="W246" s="51"/>
      <c r="X246" s="51"/>
      <c r="Y246" s="51"/>
      <c r="Z246" s="51"/>
    </row>
    <row r="247" ht="15.75" customHeight="1">
      <c r="A247" s="51"/>
      <c r="B247" s="11" t="s">
        <v>304</v>
      </c>
      <c r="C247" s="44" t="s">
        <v>312</v>
      </c>
      <c r="D247" s="39" t="s">
        <v>313</v>
      </c>
      <c r="E247" s="20"/>
      <c r="F247" s="41"/>
      <c r="G247" s="42" t="str">
        <f t="shared" si="1"/>
        <v>Por favor seleccionar tipo de funcionalidad</v>
      </c>
      <c r="H247" s="54"/>
      <c r="I247" s="54"/>
      <c r="J247" s="54"/>
      <c r="K247" s="55">
        <f t="shared" si="9"/>
        <v>0</v>
      </c>
      <c r="L247" s="51"/>
      <c r="M247" s="51"/>
      <c r="N247" s="51"/>
      <c r="O247" s="51"/>
      <c r="P247" s="51"/>
      <c r="Q247" s="51"/>
      <c r="R247" s="51"/>
      <c r="S247" s="51"/>
      <c r="T247" s="51"/>
      <c r="U247" s="51"/>
      <c r="V247" s="51"/>
      <c r="W247" s="51"/>
      <c r="X247" s="51"/>
      <c r="Y247" s="51"/>
      <c r="Z247" s="51"/>
    </row>
    <row r="248" ht="15.75" customHeight="1">
      <c r="A248" s="51"/>
      <c r="B248" s="11" t="s">
        <v>304</v>
      </c>
      <c r="C248" s="44" t="s">
        <v>314</v>
      </c>
      <c r="D248" s="39" t="s">
        <v>315</v>
      </c>
      <c r="E248" s="20"/>
      <c r="F248" s="41"/>
      <c r="G248" s="42" t="str">
        <f t="shared" si="1"/>
        <v>Por favor seleccionar tipo de funcionalidad</v>
      </c>
      <c r="H248" s="54"/>
      <c r="I248" s="54"/>
      <c r="J248" s="54"/>
      <c r="K248" s="55">
        <f t="shared" si="9"/>
        <v>0</v>
      </c>
      <c r="L248" s="51"/>
      <c r="M248" s="51"/>
      <c r="N248" s="51"/>
      <c r="O248" s="51"/>
      <c r="P248" s="51"/>
      <c r="Q248" s="51"/>
      <c r="R248" s="51"/>
      <c r="S248" s="51"/>
      <c r="T248" s="51"/>
      <c r="U248" s="51"/>
      <c r="V248" s="51"/>
      <c r="W248" s="51"/>
      <c r="X248" s="51"/>
      <c r="Y248" s="51"/>
      <c r="Z248" s="51"/>
    </row>
    <row r="249" ht="15.75" customHeight="1">
      <c r="A249" s="51"/>
      <c r="B249" s="11" t="s">
        <v>304</v>
      </c>
      <c r="C249" s="44" t="s">
        <v>316</v>
      </c>
      <c r="D249" s="39" t="s">
        <v>317</v>
      </c>
      <c r="E249" s="24"/>
      <c r="F249" s="41"/>
      <c r="G249" s="42" t="str">
        <f t="shared" si="1"/>
        <v>Por favor seleccionar tipo de funcionalidad</v>
      </c>
      <c r="H249" s="54"/>
      <c r="I249" s="54"/>
      <c r="J249" s="54"/>
      <c r="K249" s="55">
        <f t="shared" si="9"/>
        <v>0</v>
      </c>
      <c r="L249" s="51"/>
      <c r="M249" s="51"/>
      <c r="N249" s="51"/>
      <c r="O249" s="51"/>
      <c r="P249" s="51"/>
      <c r="Q249" s="51"/>
      <c r="R249" s="51"/>
      <c r="S249" s="51"/>
      <c r="T249" s="51"/>
      <c r="U249" s="51"/>
      <c r="V249" s="51"/>
      <c r="W249" s="51"/>
      <c r="X249" s="51"/>
      <c r="Y249" s="51"/>
      <c r="Z249" s="51"/>
    </row>
    <row r="250" ht="44.25" customHeight="1">
      <c r="A250" s="51"/>
      <c r="B250" s="11" t="s">
        <v>17</v>
      </c>
      <c r="C250" s="44" t="s">
        <v>318</v>
      </c>
      <c r="D250" s="39" t="s">
        <v>319</v>
      </c>
      <c r="E250" s="39"/>
      <c r="F250" s="41"/>
      <c r="G250" s="42" t="str">
        <f t="shared" si="1"/>
        <v>Por favor seleccionar tipo de funcionalidad</v>
      </c>
      <c r="H250" s="54"/>
      <c r="I250" s="54"/>
      <c r="J250" s="54"/>
      <c r="K250" s="55">
        <f t="shared" ref="K250:K256" si="10">+IF(G63=$C$43,$F$54,IF(G63=$C$44,$F$54*75%,IF(G63=$C$45,$F$54*50%,IF(G63=$C$46,$F$54*0%,0%))))</f>
        <v>0</v>
      </c>
      <c r="L250" s="51"/>
      <c r="M250" s="51"/>
      <c r="N250" s="51"/>
      <c r="O250" s="51"/>
      <c r="P250" s="51"/>
      <c r="Q250" s="51"/>
      <c r="R250" s="51"/>
      <c r="S250" s="51"/>
      <c r="T250" s="51"/>
      <c r="U250" s="51"/>
      <c r="V250" s="51"/>
      <c r="W250" s="51"/>
      <c r="X250" s="51"/>
      <c r="Y250" s="51"/>
      <c r="Z250" s="51"/>
    </row>
    <row r="251" ht="15.75" customHeight="1">
      <c r="A251" s="51"/>
      <c r="B251" s="11" t="s">
        <v>17</v>
      </c>
      <c r="C251" s="44" t="s">
        <v>320</v>
      </c>
      <c r="D251" s="39" t="s">
        <v>321</v>
      </c>
      <c r="E251" s="39"/>
      <c r="F251" s="41"/>
      <c r="G251" s="42" t="str">
        <f t="shared" si="1"/>
        <v>Por favor seleccionar tipo de funcionalidad</v>
      </c>
      <c r="H251" s="54"/>
      <c r="I251" s="54"/>
      <c r="J251" s="54"/>
      <c r="K251" s="55">
        <f t="shared" si="10"/>
        <v>0</v>
      </c>
      <c r="L251" s="51"/>
      <c r="M251" s="51"/>
      <c r="N251" s="51"/>
      <c r="O251" s="51"/>
      <c r="P251" s="51"/>
      <c r="Q251" s="51"/>
      <c r="R251" s="51"/>
      <c r="S251" s="51"/>
      <c r="T251" s="51"/>
      <c r="U251" s="51"/>
      <c r="V251" s="51"/>
      <c r="W251" s="51"/>
      <c r="X251" s="51"/>
      <c r="Y251" s="51"/>
      <c r="Z251" s="51"/>
    </row>
    <row r="252" ht="15.75" customHeight="1">
      <c r="A252" s="51"/>
      <c r="B252" s="11" t="s">
        <v>17</v>
      </c>
      <c r="C252" s="44" t="s">
        <v>320</v>
      </c>
      <c r="D252" s="39" t="s">
        <v>322</v>
      </c>
      <c r="E252" s="39"/>
      <c r="F252" s="41"/>
      <c r="G252" s="42" t="str">
        <f t="shared" si="1"/>
        <v>Por favor seleccionar tipo de funcionalidad</v>
      </c>
      <c r="H252" s="54"/>
      <c r="I252" s="54"/>
      <c r="J252" s="54"/>
      <c r="K252" s="55">
        <f t="shared" si="10"/>
        <v>0</v>
      </c>
      <c r="L252" s="51"/>
      <c r="M252" s="51"/>
      <c r="N252" s="51"/>
      <c r="O252" s="51"/>
      <c r="P252" s="51"/>
      <c r="Q252" s="51"/>
      <c r="R252" s="51"/>
      <c r="S252" s="51"/>
      <c r="T252" s="51"/>
      <c r="U252" s="51"/>
      <c r="V252" s="51"/>
      <c r="W252" s="51"/>
      <c r="X252" s="51"/>
      <c r="Y252" s="51"/>
      <c r="Z252" s="51"/>
    </row>
    <row r="253" ht="15.75" customHeight="1">
      <c r="A253" s="51"/>
      <c r="B253" s="11" t="s">
        <v>17</v>
      </c>
      <c r="C253" s="44" t="s">
        <v>320</v>
      </c>
      <c r="D253" s="39" t="s">
        <v>323</v>
      </c>
      <c r="E253" s="39"/>
      <c r="F253" s="41"/>
      <c r="G253" s="42" t="str">
        <f t="shared" si="1"/>
        <v>Por favor seleccionar tipo de funcionalidad</v>
      </c>
      <c r="H253" s="54"/>
      <c r="I253" s="54"/>
      <c r="J253" s="54"/>
      <c r="K253" s="55">
        <f t="shared" si="10"/>
        <v>0</v>
      </c>
      <c r="L253" s="51"/>
      <c r="M253" s="51"/>
      <c r="N253" s="51"/>
      <c r="O253" s="51"/>
      <c r="P253" s="51"/>
      <c r="Q253" s="51"/>
      <c r="R253" s="51"/>
      <c r="S253" s="51"/>
      <c r="T253" s="51"/>
      <c r="U253" s="51"/>
      <c r="V253" s="51"/>
      <c r="W253" s="51"/>
      <c r="X253" s="51"/>
      <c r="Y253" s="51"/>
      <c r="Z253" s="51"/>
    </row>
    <row r="254" ht="15.75" customHeight="1">
      <c r="A254" s="51"/>
      <c r="B254" s="11" t="s">
        <v>17</v>
      </c>
      <c r="C254" s="44" t="s">
        <v>324</v>
      </c>
      <c r="D254" s="39" t="s">
        <v>325</v>
      </c>
      <c r="E254" s="39"/>
      <c r="F254" s="41"/>
      <c r="G254" s="42" t="str">
        <f t="shared" si="1"/>
        <v>Por favor seleccionar tipo de funcionalidad</v>
      </c>
      <c r="H254" s="54"/>
      <c r="I254" s="54"/>
      <c r="J254" s="54"/>
      <c r="K254" s="55">
        <f t="shared" si="10"/>
        <v>0</v>
      </c>
      <c r="L254" s="51"/>
      <c r="M254" s="51"/>
      <c r="N254" s="51"/>
      <c r="O254" s="51"/>
      <c r="P254" s="51"/>
      <c r="Q254" s="51"/>
      <c r="R254" s="51"/>
      <c r="S254" s="51"/>
      <c r="T254" s="51"/>
      <c r="U254" s="51"/>
      <c r="V254" s="51"/>
      <c r="W254" s="51"/>
      <c r="X254" s="51"/>
      <c r="Y254" s="51"/>
      <c r="Z254" s="51"/>
    </row>
    <row r="255" ht="15.75" customHeight="1">
      <c r="A255" s="51"/>
      <c r="B255" s="11" t="s">
        <v>17</v>
      </c>
      <c r="C255" s="44" t="s">
        <v>326</v>
      </c>
      <c r="D255" s="44" t="s">
        <v>327</v>
      </c>
      <c r="E255" s="44"/>
      <c r="F255" s="41"/>
      <c r="G255" s="42" t="str">
        <f t="shared" si="1"/>
        <v>Por favor seleccionar tipo de funcionalidad</v>
      </c>
      <c r="H255" s="54"/>
      <c r="I255" s="54"/>
      <c r="J255" s="54"/>
      <c r="K255" s="55">
        <f t="shared" si="10"/>
        <v>0</v>
      </c>
      <c r="L255" s="51"/>
      <c r="M255" s="51"/>
      <c r="N255" s="51"/>
      <c r="O255" s="51"/>
      <c r="P255" s="51"/>
      <c r="Q255" s="51"/>
      <c r="R255" s="51"/>
      <c r="S255" s="51"/>
      <c r="T255" s="51"/>
      <c r="U255" s="51"/>
      <c r="V255" s="51"/>
      <c r="W255" s="51"/>
      <c r="X255" s="51"/>
      <c r="Y255" s="51"/>
      <c r="Z255" s="51"/>
    </row>
    <row r="256" ht="15.75" customHeight="1">
      <c r="A256" s="51"/>
      <c r="B256" s="11" t="s">
        <v>17</v>
      </c>
      <c r="C256" s="44" t="s">
        <v>328</v>
      </c>
      <c r="D256" s="39" t="s">
        <v>329</v>
      </c>
      <c r="E256" s="39"/>
      <c r="F256" s="41"/>
      <c r="G256" s="42" t="str">
        <f t="shared" si="1"/>
        <v>Por favor seleccionar tipo de funcionalidad</v>
      </c>
      <c r="H256" s="54"/>
      <c r="I256" s="54"/>
      <c r="J256" s="54"/>
      <c r="K256" s="55">
        <f t="shared" si="10"/>
        <v>0</v>
      </c>
      <c r="L256" s="51"/>
      <c r="M256" s="51"/>
      <c r="N256" s="51"/>
      <c r="O256" s="51"/>
      <c r="P256" s="51"/>
      <c r="Q256" s="51"/>
      <c r="R256" s="51"/>
      <c r="S256" s="51"/>
      <c r="T256" s="51"/>
      <c r="U256" s="51"/>
      <c r="V256" s="51"/>
      <c r="W256" s="51"/>
      <c r="X256" s="51"/>
      <c r="Y256" s="51"/>
      <c r="Z256" s="51"/>
    </row>
    <row r="257" ht="15.75" customHeight="1">
      <c r="A257" s="51"/>
      <c r="B257" s="11" t="s">
        <v>330</v>
      </c>
      <c r="C257" s="44" t="s">
        <v>331</v>
      </c>
      <c r="D257" s="39" t="s">
        <v>332</v>
      </c>
      <c r="E257" s="39"/>
      <c r="F257" s="41"/>
      <c r="G257" s="42" t="str">
        <f t="shared" si="1"/>
        <v>Por favor seleccionar tipo de funcionalidad</v>
      </c>
      <c r="H257" s="54"/>
      <c r="I257" s="54"/>
      <c r="J257" s="54"/>
      <c r="K257" s="55">
        <f>+IF(G78=$C$43,$F$57,IF(G78=$C$44,$F$57*75%,IF(G78=$C$45,$F$57*50%,IF(G78=$C$46,$F$57*0%,0%))))</f>
        <v>0</v>
      </c>
      <c r="L257" s="51"/>
      <c r="M257" s="51"/>
      <c r="N257" s="51"/>
      <c r="O257" s="51"/>
      <c r="P257" s="51"/>
      <c r="Q257" s="51"/>
      <c r="R257" s="51"/>
      <c r="S257" s="51"/>
      <c r="T257" s="51"/>
      <c r="U257" s="51"/>
      <c r="V257" s="51"/>
      <c r="W257" s="51"/>
      <c r="X257" s="51"/>
      <c r="Y257" s="51"/>
      <c r="Z257" s="51"/>
    </row>
    <row r="258" ht="15.75" customHeight="1">
      <c r="A258" s="51"/>
      <c r="B258" s="11" t="s">
        <v>17</v>
      </c>
      <c r="C258" s="44" t="s">
        <v>333</v>
      </c>
      <c r="D258" s="39" t="s">
        <v>334</v>
      </c>
      <c r="E258" s="39"/>
      <c r="F258" s="41"/>
      <c r="G258" s="42" t="str">
        <f t="shared" si="1"/>
        <v>Por favor seleccionar tipo de funcionalidad</v>
      </c>
      <c r="H258" s="54"/>
      <c r="I258" s="54"/>
      <c r="J258" s="54"/>
      <c r="K258" s="55">
        <f t="shared" ref="K258:K264" si="11">+IF(G71=$C$43,$F$54,IF(G71=$C$44,$F$54*75%,IF(G71=$C$45,$F$54*50%,IF(G71=$C$46,$F$54*0%,0%))))</f>
        <v>0</v>
      </c>
      <c r="L258" s="51"/>
      <c r="M258" s="51"/>
      <c r="N258" s="51"/>
      <c r="O258" s="51"/>
      <c r="P258" s="51"/>
      <c r="Q258" s="51"/>
      <c r="R258" s="51"/>
      <c r="S258" s="51"/>
      <c r="T258" s="51"/>
      <c r="U258" s="51"/>
      <c r="V258" s="51"/>
      <c r="W258" s="51"/>
      <c r="X258" s="51"/>
      <c r="Y258" s="51"/>
      <c r="Z258" s="51"/>
    </row>
    <row r="259" ht="15.75" customHeight="1">
      <c r="A259" s="51"/>
      <c r="B259" s="11" t="s">
        <v>17</v>
      </c>
      <c r="C259" s="44" t="s">
        <v>333</v>
      </c>
      <c r="D259" s="39" t="s">
        <v>335</v>
      </c>
      <c r="E259" s="39"/>
      <c r="F259" s="41"/>
      <c r="G259" s="42" t="str">
        <f t="shared" si="1"/>
        <v>Por favor seleccionar tipo de funcionalidad</v>
      </c>
      <c r="H259" s="54"/>
      <c r="I259" s="54"/>
      <c r="J259" s="54"/>
      <c r="K259" s="55">
        <f t="shared" si="11"/>
        <v>0</v>
      </c>
      <c r="L259" s="51"/>
      <c r="M259" s="51"/>
      <c r="N259" s="51"/>
      <c r="O259" s="51"/>
      <c r="P259" s="51"/>
      <c r="Q259" s="51"/>
      <c r="R259" s="51"/>
      <c r="S259" s="51"/>
      <c r="T259" s="51"/>
      <c r="U259" s="51"/>
      <c r="V259" s="51"/>
      <c r="W259" s="51"/>
      <c r="X259" s="51"/>
      <c r="Y259" s="51"/>
      <c r="Z259" s="51"/>
    </row>
    <row r="260" ht="15.75" customHeight="1">
      <c r="A260" s="51"/>
      <c r="B260" s="11" t="s">
        <v>17</v>
      </c>
      <c r="C260" s="44" t="s">
        <v>333</v>
      </c>
      <c r="D260" s="39" t="s">
        <v>336</v>
      </c>
      <c r="E260" s="39"/>
      <c r="F260" s="41"/>
      <c r="G260" s="42" t="str">
        <f t="shared" si="1"/>
        <v>Por favor seleccionar tipo de funcionalidad</v>
      </c>
      <c r="H260" s="54"/>
      <c r="I260" s="54"/>
      <c r="J260" s="54"/>
      <c r="K260" s="55">
        <f t="shared" si="11"/>
        <v>0</v>
      </c>
      <c r="L260" s="51"/>
      <c r="M260" s="51"/>
      <c r="N260" s="51"/>
      <c r="O260" s="51"/>
      <c r="P260" s="51"/>
      <c r="Q260" s="51"/>
      <c r="R260" s="51"/>
      <c r="S260" s="51"/>
      <c r="T260" s="51"/>
      <c r="U260" s="51"/>
      <c r="V260" s="51"/>
      <c r="W260" s="51"/>
      <c r="X260" s="51"/>
      <c r="Y260" s="51"/>
      <c r="Z260" s="51"/>
    </row>
    <row r="261" ht="15.75" customHeight="1">
      <c r="A261" s="51"/>
      <c r="B261" s="11" t="s">
        <v>17</v>
      </c>
      <c r="C261" s="44" t="s">
        <v>333</v>
      </c>
      <c r="D261" s="39" t="s">
        <v>337</v>
      </c>
      <c r="E261" s="39"/>
      <c r="F261" s="41"/>
      <c r="G261" s="42" t="str">
        <f t="shared" si="1"/>
        <v>Por favor seleccionar tipo de funcionalidad</v>
      </c>
      <c r="H261" s="54"/>
      <c r="I261" s="54"/>
      <c r="J261" s="54"/>
      <c r="K261" s="55">
        <f t="shared" si="11"/>
        <v>0</v>
      </c>
      <c r="L261" s="51"/>
      <c r="M261" s="51"/>
      <c r="N261" s="51"/>
      <c r="O261" s="51"/>
      <c r="P261" s="51"/>
      <c r="Q261" s="51"/>
      <c r="R261" s="51"/>
      <c r="S261" s="51"/>
      <c r="T261" s="51"/>
      <c r="U261" s="51"/>
      <c r="V261" s="51"/>
      <c r="W261" s="51"/>
      <c r="X261" s="51"/>
      <c r="Y261" s="51"/>
      <c r="Z261" s="51"/>
    </row>
    <row r="262" ht="15.75" customHeight="1">
      <c r="A262" s="51"/>
      <c r="B262" s="11" t="s">
        <v>17</v>
      </c>
      <c r="C262" s="44" t="s">
        <v>333</v>
      </c>
      <c r="D262" s="39" t="s">
        <v>338</v>
      </c>
      <c r="E262" s="39"/>
      <c r="F262" s="41"/>
      <c r="G262" s="42" t="str">
        <f t="shared" si="1"/>
        <v>Por favor seleccionar tipo de funcionalidad</v>
      </c>
      <c r="H262" s="54"/>
      <c r="I262" s="54"/>
      <c r="J262" s="54"/>
      <c r="K262" s="55">
        <f t="shared" si="11"/>
        <v>0</v>
      </c>
      <c r="L262" s="51"/>
      <c r="M262" s="51"/>
      <c r="N262" s="51"/>
      <c r="O262" s="51"/>
      <c r="P262" s="51"/>
      <c r="Q262" s="51"/>
      <c r="R262" s="51"/>
      <c r="S262" s="51"/>
      <c r="T262" s="51"/>
      <c r="U262" s="51"/>
      <c r="V262" s="51"/>
      <c r="W262" s="51"/>
      <c r="X262" s="51"/>
      <c r="Y262" s="51"/>
      <c r="Z262" s="51"/>
    </row>
    <row r="263" ht="15.75" customHeight="1">
      <c r="A263" s="51"/>
      <c r="B263" s="11" t="s">
        <v>17</v>
      </c>
      <c r="C263" s="44" t="s">
        <v>333</v>
      </c>
      <c r="D263" s="39" t="s">
        <v>339</v>
      </c>
      <c r="E263" s="39"/>
      <c r="F263" s="41"/>
      <c r="G263" s="42" t="str">
        <f t="shared" si="1"/>
        <v>Por favor seleccionar tipo de funcionalidad</v>
      </c>
      <c r="H263" s="54"/>
      <c r="I263" s="54"/>
      <c r="J263" s="54"/>
      <c r="K263" s="55">
        <f t="shared" si="11"/>
        <v>0</v>
      </c>
      <c r="L263" s="51"/>
      <c r="M263" s="51"/>
      <c r="N263" s="51"/>
      <c r="O263" s="51"/>
      <c r="P263" s="51"/>
      <c r="Q263" s="51"/>
      <c r="R263" s="51"/>
      <c r="S263" s="51"/>
      <c r="T263" s="51"/>
      <c r="U263" s="51"/>
      <c r="V263" s="51"/>
      <c r="W263" s="51"/>
      <c r="X263" s="51"/>
      <c r="Y263" s="51"/>
      <c r="Z263" s="51"/>
    </row>
    <row r="264" ht="15.75" customHeight="1">
      <c r="A264" s="51"/>
      <c r="B264" s="11" t="s">
        <v>17</v>
      </c>
      <c r="C264" s="44" t="s">
        <v>333</v>
      </c>
      <c r="D264" s="39" t="s">
        <v>340</v>
      </c>
      <c r="E264" s="39"/>
      <c r="F264" s="41"/>
      <c r="G264" s="42" t="str">
        <f t="shared" si="1"/>
        <v>Por favor seleccionar tipo de funcionalidad</v>
      </c>
      <c r="H264" s="54"/>
      <c r="I264" s="54"/>
      <c r="J264" s="54"/>
      <c r="K264" s="55">
        <f t="shared" si="11"/>
        <v>0</v>
      </c>
      <c r="L264" s="51"/>
      <c r="M264" s="51"/>
      <c r="N264" s="51"/>
      <c r="O264" s="51"/>
      <c r="P264" s="51"/>
      <c r="Q264" s="51"/>
      <c r="R264" s="51"/>
      <c r="S264" s="51"/>
      <c r="T264" s="51"/>
      <c r="U264" s="51"/>
      <c r="V264" s="51"/>
      <c r="W264" s="51"/>
      <c r="X264" s="51"/>
      <c r="Y264" s="51"/>
      <c r="Z264" s="51"/>
    </row>
    <row r="265" ht="15.75" customHeight="1">
      <c r="A265" s="51"/>
      <c r="B265" s="11" t="s">
        <v>341</v>
      </c>
      <c r="C265" s="44" t="s">
        <v>331</v>
      </c>
      <c r="D265" s="39" t="s">
        <v>342</v>
      </c>
      <c r="E265" s="39"/>
      <c r="F265" s="41"/>
      <c r="G265" s="42" t="str">
        <f t="shared" si="1"/>
        <v>Por favor seleccionar tipo de funcionalidad</v>
      </c>
      <c r="H265" s="54"/>
      <c r="I265" s="54"/>
      <c r="J265" s="54"/>
      <c r="K265" s="55">
        <f t="shared" ref="K265:K276" si="12">+IF(G86=$C$43,$F$57,IF(G86=$C$44,$F$57*75%,IF(G86=$C$45,$F$57*50%,IF(G86=$C$46,$F$57*0%,0%))))</f>
        <v>0</v>
      </c>
      <c r="L265" s="51"/>
      <c r="M265" s="51"/>
      <c r="N265" s="51"/>
      <c r="O265" s="51"/>
      <c r="P265" s="51"/>
      <c r="Q265" s="51"/>
      <c r="R265" s="51"/>
      <c r="S265" s="51"/>
      <c r="T265" s="51"/>
      <c r="U265" s="51"/>
      <c r="V265" s="51"/>
      <c r="W265" s="51"/>
      <c r="X265" s="51"/>
      <c r="Y265" s="51"/>
      <c r="Z265" s="51"/>
    </row>
    <row r="266" ht="15.75" customHeight="1">
      <c r="A266" s="51"/>
      <c r="B266" s="11" t="s">
        <v>343</v>
      </c>
      <c r="C266" s="53" t="s">
        <v>344</v>
      </c>
      <c r="D266" s="23" t="s">
        <v>345</v>
      </c>
      <c r="E266" s="23"/>
      <c r="F266" s="41"/>
      <c r="G266" s="42" t="str">
        <f t="shared" si="1"/>
        <v>Por favor seleccionar tipo de funcionalidad</v>
      </c>
      <c r="H266" s="54"/>
      <c r="I266" s="54"/>
      <c r="J266" s="54"/>
      <c r="K266" s="55">
        <f t="shared" si="12"/>
        <v>0</v>
      </c>
      <c r="L266" s="51"/>
      <c r="M266" s="51"/>
      <c r="N266" s="51"/>
      <c r="O266" s="51"/>
      <c r="P266" s="51"/>
      <c r="Q266" s="51"/>
      <c r="R266" s="51"/>
      <c r="S266" s="51"/>
      <c r="T266" s="51"/>
      <c r="U266" s="51"/>
      <c r="V266" s="51"/>
      <c r="W266" s="51"/>
      <c r="X266" s="51"/>
      <c r="Y266" s="51"/>
      <c r="Z266" s="51"/>
    </row>
    <row r="267" ht="15.75" customHeight="1">
      <c r="A267" s="51"/>
      <c r="B267" s="11" t="s">
        <v>343</v>
      </c>
      <c r="C267" s="44" t="s">
        <v>346</v>
      </c>
      <c r="D267" s="39" t="s">
        <v>347</v>
      </c>
      <c r="E267" s="39"/>
      <c r="F267" s="41"/>
      <c r="G267" s="42" t="str">
        <f t="shared" si="1"/>
        <v>Por favor seleccionar tipo de funcionalidad</v>
      </c>
      <c r="H267" s="54"/>
      <c r="I267" s="54"/>
      <c r="J267" s="54"/>
      <c r="K267" s="55">
        <f t="shared" si="12"/>
        <v>0</v>
      </c>
      <c r="L267" s="51"/>
      <c r="M267" s="51"/>
      <c r="N267" s="51"/>
      <c r="O267" s="51"/>
      <c r="P267" s="51"/>
      <c r="Q267" s="51"/>
      <c r="R267" s="51"/>
      <c r="S267" s="51"/>
      <c r="T267" s="51"/>
      <c r="U267" s="51"/>
      <c r="V267" s="51"/>
      <c r="W267" s="51"/>
      <c r="X267" s="51"/>
      <c r="Y267" s="51"/>
      <c r="Z267" s="51"/>
    </row>
    <row r="268" ht="15.75" customHeight="1">
      <c r="A268" s="51"/>
      <c r="B268" s="11" t="s">
        <v>348</v>
      </c>
      <c r="C268" s="44" t="s">
        <v>349</v>
      </c>
      <c r="D268" s="39" t="s">
        <v>350</v>
      </c>
      <c r="E268" s="39"/>
      <c r="F268" s="41"/>
      <c r="G268" s="42" t="str">
        <f t="shared" si="1"/>
        <v>Por favor seleccionar tipo de funcionalidad</v>
      </c>
      <c r="H268" s="54"/>
      <c r="I268" s="54"/>
      <c r="J268" s="54"/>
      <c r="K268" s="55">
        <f t="shared" si="12"/>
        <v>0</v>
      </c>
      <c r="L268" s="51"/>
      <c r="M268" s="51"/>
      <c r="N268" s="51"/>
      <c r="O268" s="51"/>
      <c r="P268" s="51"/>
      <c r="Q268" s="51"/>
      <c r="R268" s="51"/>
      <c r="S268" s="51"/>
      <c r="T268" s="51"/>
      <c r="U268" s="51"/>
      <c r="V268" s="51"/>
      <c r="W268" s="51"/>
      <c r="X268" s="51"/>
      <c r="Y268" s="51"/>
      <c r="Z268" s="51"/>
    </row>
    <row r="269" ht="15.75" customHeight="1">
      <c r="A269" s="51"/>
      <c r="B269" s="11" t="s">
        <v>351</v>
      </c>
      <c r="C269" s="44" t="s">
        <v>352</v>
      </c>
      <c r="D269" s="39" t="s">
        <v>353</v>
      </c>
      <c r="E269" s="39"/>
      <c r="F269" s="41"/>
      <c r="G269" s="42" t="str">
        <f t="shared" si="1"/>
        <v>Por favor seleccionar tipo de funcionalidad</v>
      </c>
      <c r="H269" s="54"/>
      <c r="I269" s="54"/>
      <c r="J269" s="54"/>
      <c r="K269" s="55">
        <f t="shared" si="12"/>
        <v>0</v>
      </c>
      <c r="L269" s="51"/>
      <c r="M269" s="51"/>
      <c r="N269" s="51"/>
      <c r="O269" s="51"/>
      <c r="P269" s="51"/>
      <c r="Q269" s="51"/>
      <c r="R269" s="51"/>
      <c r="S269" s="51"/>
      <c r="T269" s="51"/>
      <c r="U269" s="51"/>
      <c r="V269" s="51"/>
      <c r="W269" s="51"/>
      <c r="X269" s="51"/>
      <c r="Y269" s="51"/>
      <c r="Z269" s="51"/>
    </row>
    <row r="270" ht="15.75" customHeight="1">
      <c r="A270" s="51"/>
      <c r="B270" s="11" t="s">
        <v>351</v>
      </c>
      <c r="C270" s="44" t="s">
        <v>352</v>
      </c>
      <c r="D270" s="39" t="s">
        <v>354</v>
      </c>
      <c r="E270" s="39"/>
      <c r="F270" s="41"/>
      <c r="G270" s="42" t="str">
        <f t="shared" si="1"/>
        <v>Por favor seleccionar tipo de funcionalidad</v>
      </c>
      <c r="H270" s="54"/>
      <c r="I270" s="54"/>
      <c r="J270" s="54"/>
      <c r="K270" s="55">
        <f t="shared" si="12"/>
        <v>0</v>
      </c>
      <c r="L270" s="51"/>
      <c r="M270" s="51"/>
      <c r="N270" s="51"/>
      <c r="O270" s="51"/>
      <c r="P270" s="51"/>
      <c r="Q270" s="51"/>
      <c r="R270" s="51"/>
      <c r="S270" s="51"/>
      <c r="T270" s="51"/>
      <c r="U270" s="51"/>
      <c r="V270" s="51"/>
      <c r="W270" s="51"/>
      <c r="X270" s="51"/>
      <c r="Y270" s="51"/>
      <c r="Z270" s="51"/>
    </row>
    <row r="271" ht="15.75" customHeight="1">
      <c r="A271" s="51"/>
      <c r="B271" s="11" t="s">
        <v>351</v>
      </c>
      <c r="C271" s="44" t="s">
        <v>352</v>
      </c>
      <c r="D271" s="39" t="s">
        <v>355</v>
      </c>
      <c r="E271" s="39"/>
      <c r="F271" s="41"/>
      <c r="G271" s="42" t="str">
        <f t="shared" si="1"/>
        <v>Por favor seleccionar tipo de funcionalidad</v>
      </c>
      <c r="H271" s="54"/>
      <c r="I271" s="54"/>
      <c r="J271" s="54"/>
      <c r="K271" s="55">
        <f t="shared" si="12"/>
        <v>0</v>
      </c>
      <c r="L271" s="51"/>
      <c r="M271" s="51"/>
      <c r="N271" s="51"/>
      <c r="O271" s="51"/>
      <c r="P271" s="51"/>
      <c r="Q271" s="51"/>
      <c r="R271" s="51"/>
      <c r="S271" s="51"/>
      <c r="T271" s="51"/>
      <c r="U271" s="51"/>
      <c r="V271" s="51"/>
      <c r="W271" s="51"/>
      <c r="X271" s="51"/>
      <c r="Y271" s="51"/>
      <c r="Z271" s="51"/>
    </row>
    <row r="272" ht="15.75" customHeight="1">
      <c r="A272" s="51"/>
      <c r="B272" s="11" t="s">
        <v>351</v>
      </c>
      <c r="C272" s="44" t="s">
        <v>352</v>
      </c>
      <c r="D272" s="39" t="s">
        <v>356</v>
      </c>
      <c r="E272" s="39"/>
      <c r="F272" s="41"/>
      <c r="G272" s="42" t="str">
        <f t="shared" si="1"/>
        <v>Por favor seleccionar tipo de funcionalidad</v>
      </c>
      <c r="H272" s="54"/>
      <c r="I272" s="54"/>
      <c r="J272" s="54"/>
      <c r="K272" s="55">
        <f t="shared" si="12"/>
        <v>0</v>
      </c>
      <c r="L272" s="51"/>
      <c r="M272" s="51"/>
      <c r="N272" s="51"/>
      <c r="O272" s="51"/>
      <c r="P272" s="51"/>
      <c r="Q272" s="51"/>
      <c r="R272" s="51"/>
      <c r="S272" s="51"/>
      <c r="T272" s="51"/>
      <c r="U272" s="51"/>
      <c r="V272" s="51"/>
      <c r="W272" s="51"/>
      <c r="X272" s="51"/>
      <c r="Y272" s="51"/>
      <c r="Z272" s="51"/>
    </row>
    <row r="273" ht="15.75" customHeight="1">
      <c r="A273" s="51"/>
      <c r="B273" s="11" t="s">
        <v>351</v>
      </c>
      <c r="C273" s="44" t="s">
        <v>352</v>
      </c>
      <c r="D273" s="39" t="s">
        <v>357</v>
      </c>
      <c r="E273" s="39"/>
      <c r="F273" s="41"/>
      <c r="G273" s="42" t="str">
        <f t="shared" si="1"/>
        <v>Por favor seleccionar tipo de funcionalidad</v>
      </c>
      <c r="H273" s="54"/>
      <c r="I273" s="54"/>
      <c r="J273" s="54"/>
      <c r="K273" s="55">
        <f t="shared" si="12"/>
        <v>0</v>
      </c>
      <c r="L273" s="51"/>
      <c r="M273" s="51"/>
      <c r="N273" s="51"/>
      <c r="O273" s="51"/>
      <c r="P273" s="51"/>
      <c r="Q273" s="51"/>
      <c r="R273" s="51"/>
      <c r="S273" s="51"/>
      <c r="T273" s="51"/>
      <c r="U273" s="51"/>
      <c r="V273" s="51"/>
      <c r="W273" s="51"/>
      <c r="X273" s="51"/>
      <c r="Y273" s="51"/>
      <c r="Z273" s="51"/>
    </row>
    <row r="274" ht="15.75" customHeight="1">
      <c r="A274" s="51"/>
      <c r="B274" s="11" t="s">
        <v>351</v>
      </c>
      <c r="C274" s="44" t="s">
        <v>352</v>
      </c>
      <c r="D274" s="39" t="s">
        <v>358</v>
      </c>
      <c r="E274" s="39"/>
      <c r="F274" s="41"/>
      <c r="G274" s="42" t="str">
        <f t="shared" si="1"/>
        <v>Por favor seleccionar tipo de funcionalidad</v>
      </c>
      <c r="H274" s="54"/>
      <c r="I274" s="54"/>
      <c r="J274" s="54"/>
      <c r="K274" s="55">
        <f t="shared" si="12"/>
        <v>0</v>
      </c>
      <c r="L274" s="51"/>
      <c r="M274" s="51"/>
      <c r="N274" s="51"/>
      <c r="O274" s="51"/>
      <c r="P274" s="51"/>
      <c r="Q274" s="51"/>
      <c r="R274" s="51"/>
      <c r="S274" s="51"/>
      <c r="T274" s="51"/>
      <c r="U274" s="51"/>
      <c r="V274" s="51"/>
      <c r="W274" s="51"/>
      <c r="X274" s="51"/>
      <c r="Y274" s="51"/>
      <c r="Z274" s="51"/>
    </row>
    <row r="275" ht="15.75" customHeight="1">
      <c r="A275" s="51"/>
      <c r="B275" s="11" t="s">
        <v>351</v>
      </c>
      <c r="C275" s="44" t="s">
        <v>352</v>
      </c>
      <c r="D275" s="39" t="s">
        <v>359</v>
      </c>
      <c r="E275" s="39"/>
      <c r="F275" s="41"/>
      <c r="G275" s="42" t="str">
        <f t="shared" si="1"/>
        <v>Por favor seleccionar tipo de funcionalidad</v>
      </c>
      <c r="H275" s="54"/>
      <c r="I275" s="54"/>
      <c r="J275" s="54"/>
      <c r="K275" s="55">
        <f t="shared" si="12"/>
        <v>0</v>
      </c>
      <c r="L275" s="51"/>
      <c r="M275" s="51"/>
      <c r="N275" s="51"/>
      <c r="O275" s="51"/>
      <c r="P275" s="51"/>
      <c r="Q275" s="51"/>
      <c r="R275" s="51"/>
      <c r="S275" s="51"/>
      <c r="T275" s="51"/>
      <c r="U275" s="51"/>
      <c r="V275" s="51"/>
      <c r="W275" s="51"/>
      <c r="X275" s="51"/>
      <c r="Y275" s="51"/>
      <c r="Z275" s="51"/>
    </row>
    <row r="276" ht="15.75" customHeight="1">
      <c r="A276" s="51"/>
      <c r="B276" s="11" t="s">
        <v>360</v>
      </c>
      <c r="C276" s="44" t="s">
        <v>361</v>
      </c>
      <c r="D276" s="39" t="s">
        <v>362</v>
      </c>
      <c r="E276" s="39"/>
      <c r="F276" s="41"/>
      <c r="G276" s="42" t="str">
        <f t="shared" si="1"/>
        <v>Por favor seleccionar tipo de funcionalidad</v>
      </c>
      <c r="H276" s="54"/>
      <c r="I276" s="54"/>
      <c r="J276" s="54"/>
      <c r="K276" s="55">
        <f t="shared" si="12"/>
        <v>0</v>
      </c>
      <c r="L276" s="51"/>
      <c r="M276" s="51"/>
      <c r="N276" s="51"/>
      <c r="O276" s="51"/>
      <c r="P276" s="51"/>
      <c r="Q276" s="51"/>
      <c r="R276" s="51"/>
      <c r="S276" s="51"/>
      <c r="T276" s="51"/>
      <c r="U276" s="51"/>
      <c r="V276" s="51"/>
      <c r="W276" s="51"/>
      <c r="X276" s="51"/>
      <c r="Y276" s="51"/>
      <c r="Z276" s="51"/>
    </row>
    <row r="277" ht="15.75" customHeight="1">
      <c r="A277" s="1"/>
      <c r="B277" s="1"/>
      <c r="C277" s="58"/>
      <c r="D277" s="1"/>
      <c r="E277" s="1"/>
      <c r="F277" s="23"/>
      <c r="G277" s="23"/>
      <c r="H277" s="23"/>
      <c r="I277" s="23"/>
      <c r="J277" s="23"/>
      <c r="K277" s="23"/>
      <c r="L277" s="1"/>
      <c r="M277" s="1"/>
      <c r="N277" s="1"/>
      <c r="O277" s="1"/>
      <c r="P277" s="1"/>
      <c r="Q277" s="1"/>
      <c r="R277" s="1"/>
      <c r="S277" s="1"/>
      <c r="T277" s="1"/>
      <c r="U277" s="1"/>
      <c r="V277" s="1"/>
      <c r="W277" s="1"/>
      <c r="X277" s="1"/>
      <c r="Y277" s="1"/>
      <c r="Z277" s="1"/>
    </row>
    <row r="278" ht="15.75" customHeight="1">
      <c r="A278" s="1"/>
      <c r="B278" s="1"/>
      <c r="C278" s="58"/>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58"/>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58"/>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58"/>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58"/>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58"/>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58"/>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58"/>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58"/>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58"/>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58"/>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58"/>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58"/>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58"/>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58"/>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58"/>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58"/>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58"/>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58"/>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58"/>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58"/>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58"/>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58"/>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58"/>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58"/>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58"/>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58"/>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58"/>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58"/>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58"/>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58"/>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58"/>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58"/>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58"/>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58"/>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58"/>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58"/>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58"/>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58"/>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58"/>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58"/>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58"/>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58"/>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58"/>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58"/>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58"/>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58"/>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58"/>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58"/>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58"/>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58"/>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58"/>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58"/>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58"/>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58"/>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58"/>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58"/>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58"/>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58"/>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58"/>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58"/>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58"/>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58"/>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58"/>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58"/>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58"/>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58"/>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58"/>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58"/>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58"/>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58"/>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58"/>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58"/>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58"/>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58"/>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58"/>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58"/>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58"/>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58"/>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58"/>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58"/>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58"/>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58"/>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58"/>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58"/>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58"/>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58"/>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58"/>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58"/>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58"/>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58"/>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58"/>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58"/>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58"/>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58"/>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58"/>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58"/>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58"/>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58"/>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58"/>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58"/>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58"/>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58"/>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58"/>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58"/>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58"/>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58"/>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58"/>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58"/>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58"/>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58"/>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58"/>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58"/>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58"/>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58"/>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58"/>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58"/>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58"/>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58"/>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58"/>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58"/>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58"/>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58"/>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58"/>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58"/>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58"/>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58"/>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58"/>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58"/>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58"/>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58"/>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58"/>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58"/>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58"/>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58"/>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58"/>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58"/>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58"/>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58"/>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58"/>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58"/>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58"/>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58"/>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58"/>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58"/>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58"/>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58"/>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58"/>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58"/>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58"/>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58"/>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58"/>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58"/>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58"/>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58"/>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58"/>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58"/>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58"/>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58"/>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58"/>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58"/>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58"/>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58"/>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58"/>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58"/>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58"/>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58"/>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58"/>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58"/>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58"/>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58"/>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58"/>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58"/>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58"/>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58"/>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58"/>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58"/>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58"/>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58"/>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58"/>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58"/>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58"/>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58"/>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58"/>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58"/>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58"/>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58"/>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58"/>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58"/>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58"/>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58"/>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58"/>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58"/>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58"/>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58"/>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58"/>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58"/>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58"/>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58"/>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58"/>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58"/>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58"/>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58"/>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58"/>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58"/>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58"/>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58"/>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58"/>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58"/>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58"/>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58"/>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58"/>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58"/>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58"/>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58"/>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58"/>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58"/>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58"/>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58"/>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58"/>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58"/>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58"/>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58"/>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58"/>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58"/>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58"/>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58"/>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58"/>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58"/>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58"/>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58"/>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58"/>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58"/>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58"/>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58"/>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58"/>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58"/>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58"/>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58"/>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58"/>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58"/>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58"/>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58"/>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58"/>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58"/>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58"/>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58"/>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58"/>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58"/>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58"/>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58"/>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58"/>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58"/>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58"/>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58"/>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58"/>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58"/>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58"/>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58"/>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58"/>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58"/>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58"/>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58"/>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58"/>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58"/>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58"/>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58"/>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58"/>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58"/>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58"/>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58"/>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58"/>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58"/>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58"/>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58"/>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58"/>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58"/>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58"/>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58"/>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58"/>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58"/>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58"/>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58"/>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58"/>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58"/>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58"/>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58"/>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58"/>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58"/>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58"/>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58"/>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58"/>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58"/>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58"/>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58"/>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58"/>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58"/>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58"/>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58"/>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58"/>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58"/>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58"/>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58"/>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58"/>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58"/>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58"/>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58"/>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58"/>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58"/>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58"/>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58"/>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58"/>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58"/>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58"/>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58"/>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58"/>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58"/>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58"/>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58"/>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58"/>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58"/>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58"/>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58"/>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58"/>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58"/>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58"/>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58"/>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58"/>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58"/>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58"/>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58"/>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58"/>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58"/>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58"/>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58"/>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58"/>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58"/>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58"/>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58"/>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58"/>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58"/>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58"/>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58"/>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58"/>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58"/>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58"/>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58"/>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58"/>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58"/>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58"/>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58"/>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58"/>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58"/>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58"/>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58"/>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58"/>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58"/>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58"/>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58"/>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58"/>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58"/>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58"/>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58"/>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58"/>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58"/>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58"/>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58"/>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58"/>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58"/>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58"/>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58"/>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58"/>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58"/>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58"/>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58"/>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58"/>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58"/>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58"/>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58"/>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58"/>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58"/>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58"/>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58"/>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58"/>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58"/>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58"/>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58"/>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58"/>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58"/>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58"/>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58"/>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58"/>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58"/>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58"/>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58"/>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58"/>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58"/>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58"/>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58"/>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58"/>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58"/>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58"/>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58"/>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58"/>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58"/>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58"/>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58"/>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58"/>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58"/>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58"/>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58"/>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58"/>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58"/>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58"/>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58"/>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58"/>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58"/>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58"/>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58"/>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58"/>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58"/>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58"/>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58"/>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58"/>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58"/>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58"/>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58"/>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58"/>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58"/>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58"/>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58"/>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58"/>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58"/>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58"/>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58"/>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58"/>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58"/>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58"/>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58"/>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58"/>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58"/>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58"/>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58"/>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58"/>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58"/>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58"/>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58"/>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58"/>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58"/>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58"/>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58"/>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58"/>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58"/>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58"/>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58"/>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58"/>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58"/>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58"/>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58"/>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58"/>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58"/>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58"/>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58"/>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58"/>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58"/>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58"/>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58"/>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58"/>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58"/>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58"/>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58"/>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58"/>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58"/>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58"/>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58"/>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58"/>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58"/>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58"/>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58"/>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58"/>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58"/>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58"/>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58"/>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58"/>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58"/>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58"/>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58"/>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58"/>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58"/>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58"/>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58"/>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58"/>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58"/>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58"/>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58"/>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58"/>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58"/>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58"/>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58"/>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58"/>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58"/>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58"/>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58"/>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58"/>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58"/>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58"/>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58"/>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58"/>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58"/>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58"/>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58"/>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58"/>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58"/>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58"/>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58"/>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58"/>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58"/>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58"/>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58"/>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58"/>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58"/>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58"/>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58"/>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58"/>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58"/>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58"/>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58"/>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58"/>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58"/>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58"/>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58"/>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58"/>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58"/>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58"/>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58"/>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58"/>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58"/>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58"/>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58"/>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58"/>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58"/>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58"/>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58"/>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58"/>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58"/>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58"/>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58"/>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58"/>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58"/>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58"/>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58"/>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58"/>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58"/>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58"/>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58"/>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58"/>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58"/>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58"/>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58"/>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58"/>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58"/>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58"/>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58"/>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58"/>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58"/>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58"/>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58"/>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58"/>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58"/>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58"/>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58"/>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58"/>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58"/>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58"/>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58"/>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58"/>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58"/>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58"/>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58"/>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58"/>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58"/>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58"/>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58"/>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58"/>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58"/>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58"/>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58"/>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58"/>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58"/>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58"/>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58"/>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58"/>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58"/>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58"/>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58"/>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58"/>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58"/>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58"/>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58"/>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58"/>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58"/>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58"/>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58"/>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58"/>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58"/>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58"/>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58"/>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58"/>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58"/>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58"/>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58"/>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58"/>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58"/>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58"/>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58"/>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58"/>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58"/>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58"/>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58"/>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58"/>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58"/>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58"/>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58"/>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58"/>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58"/>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58"/>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58"/>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58"/>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58"/>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58"/>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58"/>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58"/>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58"/>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58"/>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58"/>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58"/>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58"/>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58"/>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58"/>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58"/>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58"/>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58"/>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58"/>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58"/>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58"/>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58"/>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58"/>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58"/>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58"/>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58"/>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58"/>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58"/>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58"/>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58"/>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58"/>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58"/>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58"/>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58"/>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58"/>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58"/>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58"/>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58"/>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58"/>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58"/>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58"/>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58"/>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58"/>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58"/>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58"/>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58"/>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58"/>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58"/>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58"/>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58"/>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58"/>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58"/>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58"/>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58"/>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58"/>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58"/>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58"/>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58"/>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58"/>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58"/>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58"/>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58"/>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58"/>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58"/>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58"/>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58"/>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58"/>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58"/>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58"/>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58"/>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58"/>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58"/>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58"/>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58"/>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58"/>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58"/>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58"/>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58"/>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58"/>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58"/>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58"/>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58"/>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58"/>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58"/>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58"/>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58"/>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58"/>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58"/>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58"/>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58"/>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58"/>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58"/>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58"/>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58"/>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58"/>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58"/>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58"/>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58"/>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58"/>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8">
    <mergeCell ref="A49:A57"/>
    <mergeCell ref="B49:B57"/>
    <mergeCell ref="B61:E61"/>
    <mergeCell ref="F61:K61"/>
    <mergeCell ref="E63:E72"/>
    <mergeCell ref="E74:E81"/>
    <mergeCell ref="E82:E83"/>
    <mergeCell ref="E84:E85"/>
    <mergeCell ref="E86:E90"/>
    <mergeCell ref="E91:E95"/>
    <mergeCell ref="E108:E113"/>
    <mergeCell ref="E114:E119"/>
    <mergeCell ref="E120:E124"/>
    <mergeCell ref="E125:E134"/>
    <mergeCell ref="E186:E196"/>
    <mergeCell ref="E197:E206"/>
    <mergeCell ref="E216:E225"/>
    <mergeCell ref="E227:E236"/>
    <mergeCell ref="E237:E241"/>
    <mergeCell ref="E242:E243"/>
    <mergeCell ref="E244:E249"/>
    <mergeCell ref="E137:E149"/>
    <mergeCell ref="E150:E152"/>
    <mergeCell ref="E153:E160"/>
    <mergeCell ref="E161:E166"/>
    <mergeCell ref="E167:E169"/>
    <mergeCell ref="E170:E175"/>
    <mergeCell ref="E176:E185"/>
  </mergeCells>
  <dataValidations>
    <dataValidation type="list" allowBlank="1" showErrorMessage="1" sqref="F63:F276">
      <formula1>$D$43:$D$46</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42.43"/>
    <col customWidth="1" min="3" max="3" width="25.57"/>
    <col customWidth="1" min="4" max="4" width="127.29"/>
    <col customWidth="1" min="5" max="5" width="33.14"/>
    <col customWidth="1" min="6" max="6" width="42.0"/>
    <col customWidth="1" min="7" max="8" width="21.71"/>
    <col customWidth="1" min="9" max="9" width="11.43"/>
    <col customWidth="1" hidden="1" min="10" max="10" width="15.29"/>
    <col customWidth="1" min="11" max="26" width="11.43"/>
  </cols>
  <sheetData>
    <row r="1" ht="12.75" hidden="1" customHeight="1">
      <c r="A1" s="59"/>
      <c r="B1" s="59"/>
      <c r="C1" s="59"/>
      <c r="D1" s="59"/>
      <c r="E1" s="59"/>
      <c r="F1" s="59"/>
      <c r="G1" s="59"/>
      <c r="H1" s="59"/>
      <c r="I1" s="59"/>
      <c r="J1" s="59"/>
      <c r="K1" s="59"/>
      <c r="L1" s="59"/>
      <c r="M1" s="59"/>
      <c r="N1" s="59"/>
      <c r="O1" s="59"/>
      <c r="P1" s="59"/>
      <c r="Q1" s="59"/>
      <c r="R1" s="59"/>
      <c r="S1" s="59"/>
      <c r="T1" s="59"/>
      <c r="U1" s="59"/>
      <c r="V1" s="59"/>
      <c r="W1" s="59"/>
      <c r="X1" s="59"/>
      <c r="Y1" s="59"/>
      <c r="Z1" s="59"/>
    </row>
    <row r="2" ht="12.75" hidden="1" customHeight="1">
      <c r="A2" s="59"/>
      <c r="B2" s="59"/>
      <c r="C2" s="59"/>
      <c r="D2" s="59"/>
      <c r="E2" s="59"/>
      <c r="F2" s="59"/>
      <c r="G2" s="59"/>
      <c r="H2" s="59"/>
      <c r="I2" s="59"/>
      <c r="J2" s="59"/>
      <c r="K2" s="59"/>
      <c r="L2" s="59"/>
      <c r="M2" s="59"/>
      <c r="N2" s="59"/>
      <c r="O2" s="59"/>
      <c r="P2" s="59"/>
      <c r="Q2" s="59"/>
      <c r="R2" s="59"/>
      <c r="S2" s="59"/>
      <c r="T2" s="59"/>
      <c r="U2" s="59"/>
      <c r="V2" s="59"/>
      <c r="W2" s="59"/>
      <c r="X2" s="59"/>
      <c r="Y2" s="59"/>
      <c r="Z2" s="59"/>
    </row>
    <row r="3" ht="12.75" hidden="1" customHeight="1">
      <c r="A3" s="59"/>
      <c r="B3" s="59"/>
      <c r="C3" s="59"/>
      <c r="D3" s="59"/>
      <c r="E3" s="59"/>
      <c r="F3" s="59"/>
      <c r="G3" s="59"/>
      <c r="H3" s="59"/>
      <c r="I3" s="59"/>
      <c r="J3" s="59"/>
      <c r="K3" s="59"/>
      <c r="L3" s="59"/>
      <c r="M3" s="59"/>
      <c r="N3" s="59"/>
      <c r="O3" s="59"/>
      <c r="P3" s="59"/>
      <c r="Q3" s="59"/>
      <c r="R3" s="59"/>
      <c r="S3" s="59"/>
      <c r="T3" s="59"/>
      <c r="U3" s="59"/>
      <c r="V3" s="59"/>
      <c r="W3" s="59"/>
      <c r="X3" s="59"/>
      <c r="Y3" s="59"/>
      <c r="Z3" s="59"/>
    </row>
    <row r="4" ht="12.75" hidden="1" customHeight="1">
      <c r="A4" s="59"/>
      <c r="B4" s="59"/>
      <c r="C4" s="59"/>
      <c r="D4" s="59"/>
      <c r="E4" s="59"/>
      <c r="F4" s="59"/>
      <c r="G4" s="59"/>
      <c r="H4" s="59"/>
      <c r="I4" s="59"/>
      <c r="J4" s="59"/>
      <c r="K4" s="59"/>
      <c r="L4" s="59"/>
      <c r="M4" s="59"/>
      <c r="N4" s="59"/>
      <c r="O4" s="59"/>
      <c r="P4" s="59"/>
      <c r="Q4" s="59"/>
      <c r="R4" s="59"/>
      <c r="S4" s="59"/>
      <c r="T4" s="59"/>
      <c r="U4" s="59"/>
      <c r="V4" s="59"/>
      <c r="W4" s="59"/>
      <c r="X4" s="59"/>
      <c r="Y4" s="59"/>
      <c r="Z4" s="59"/>
    </row>
    <row r="5" ht="12.75" hidden="1" customHeight="1">
      <c r="A5" s="59"/>
      <c r="B5" s="59"/>
      <c r="C5" s="59"/>
      <c r="D5" s="59"/>
      <c r="E5" s="59"/>
      <c r="F5" s="59"/>
      <c r="G5" s="59"/>
      <c r="H5" s="59"/>
      <c r="I5" s="59"/>
      <c r="J5" s="59"/>
      <c r="K5" s="59"/>
      <c r="L5" s="59"/>
      <c r="M5" s="59"/>
      <c r="N5" s="59"/>
      <c r="O5" s="59"/>
      <c r="P5" s="59"/>
      <c r="Q5" s="59"/>
      <c r="R5" s="59"/>
      <c r="S5" s="59"/>
      <c r="T5" s="59"/>
      <c r="U5" s="59"/>
      <c r="V5" s="59"/>
      <c r="W5" s="59"/>
      <c r="X5" s="59"/>
      <c r="Y5" s="59"/>
      <c r="Z5" s="59"/>
    </row>
    <row r="6" ht="12.75" hidden="1" customHeight="1">
      <c r="A6" s="59"/>
      <c r="B6" s="59"/>
      <c r="C6" s="59"/>
      <c r="D6" s="59"/>
      <c r="E6" s="59"/>
      <c r="F6" s="59"/>
      <c r="G6" s="59"/>
      <c r="H6" s="59"/>
      <c r="I6" s="59"/>
      <c r="J6" s="59"/>
      <c r="K6" s="59"/>
      <c r="L6" s="59"/>
      <c r="M6" s="59"/>
      <c r="N6" s="59"/>
      <c r="O6" s="59"/>
      <c r="P6" s="59"/>
      <c r="Q6" s="59"/>
      <c r="R6" s="59"/>
      <c r="S6" s="59"/>
      <c r="T6" s="59"/>
      <c r="U6" s="59"/>
      <c r="V6" s="59"/>
      <c r="W6" s="59"/>
      <c r="X6" s="59"/>
      <c r="Y6" s="59"/>
      <c r="Z6" s="59"/>
    </row>
    <row r="7" ht="12.75" hidden="1" customHeight="1">
      <c r="A7" s="59"/>
      <c r="B7" s="59"/>
      <c r="C7" s="59"/>
      <c r="D7" s="59"/>
      <c r="E7" s="59"/>
      <c r="F7" s="59"/>
      <c r="G7" s="59"/>
      <c r="H7" s="59"/>
      <c r="I7" s="59"/>
      <c r="J7" s="59"/>
      <c r="K7" s="59"/>
      <c r="L7" s="59"/>
      <c r="M7" s="59"/>
      <c r="N7" s="59"/>
      <c r="O7" s="59"/>
      <c r="P7" s="59"/>
      <c r="Q7" s="59"/>
      <c r="R7" s="59"/>
      <c r="S7" s="59"/>
      <c r="T7" s="59"/>
      <c r="U7" s="59"/>
      <c r="V7" s="59"/>
      <c r="W7" s="59"/>
      <c r="X7" s="59"/>
      <c r="Y7" s="59"/>
      <c r="Z7" s="59"/>
    </row>
    <row r="8" ht="12.75" hidden="1" customHeight="1">
      <c r="A8" s="59"/>
      <c r="B8" s="59"/>
      <c r="C8" s="59"/>
      <c r="D8" s="59"/>
      <c r="E8" s="59"/>
      <c r="F8" s="59"/>
      <c r="G8" s="59"/>
      <c r="H8" s="59"/>
      <c r="I8" s="59"/>
      <c r="J8" s="59"/>
      <c r="K8" s="59"/>
      <c r="L8" s="59"/>
      <c r="M8" s="59"/>
      <c r="N8" s="59"/>
      <c r="O8" s="59"/>
      <c r="P8" s="59"/>
      <c r="Q8" s="59"/>
      <c r="R8" s="59"/>
      <c r="S8" s="59"/>
      <c r="T8" s="59"/>
      <c r="U8" s="59"/>
      <c r="V8" s="59"/>
      <c r="W8" s="59"/>
      <c r="X8" s="59"/>
      <c r="Y8" s="59"/>
      <c r="Z8" s="59"/>
    </row>
    <row r="9" ht="12.75" hidden="1" customHeight="1">
      <c r="A9" s="59"/>
      <c r="B9" s="59"/>
      <c r="C9" s="59"/>
      <c r="D9" s="59"/>
      <c r="E9" s="59"/>
      <c r="F9" s="59"/>
      <c r="G9" s="59"/>
      <c r="H9" s="59"/>
      <c r="I9" s="59"/>
      <c r="J9" s="59"/>
      <c r="K9" s="59"/>
      <c r="L9" s="59"/>
      <c r="M9" s="59"/>
      <c r="N9" s="59"/>
      <c r="O9" s="59"/>
      <c r="P9" s="59"/>
      <c r="Q9" s="59"/>
      <c r="R9" s="59"/>
      <c r="S9" s="59"/>
      <c r="T9" s="59"/>
      <c r="U9" s="59"/>
      <c r="V9" s="59"/>
      <c r="W9" s="59"/>
      <c r="X9" s="59"/>
      <c r="Y9" s="59"/>
      <c r="Z9" s="59"/>
    </row>
    <row r="10" ht="12.75" hidden="1" customHeight="1">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row>
    <row r="11" ht="12.75" hidden="1" customHeight="1">
      <c r="A11" s="59"/>
      <c r="B11" s="59"/>
      <c r="C11" s="59"/>
      <c r="D11" s="59"/>
      <c r="E11" s="59"/>
      <c r="F11" s="59"/>
      <c r="G11" s="59"/>
      <c r="H11" s="59"/>
      <c r="I11" s="59"/>
      <c r="J11" s="59"/>
      <c r="K11" s="59"/>
      <c r="L11" s="59"/>
      <c r="M11" s="59"/>
      <c r="N11" s="59"/>
      <c r="O11" s="59"/>
      <c r="P11" s="59"/>
      <c r="Q11" s="59"/>
      <c r="R11" s="59"/>
      <c r="S11" s="59"/>
      <c r="T11" s="59"/>
      <c r="U11" s="59"/>
      <c r="V11" s="59"/>
      <c r="W11" s="59"/>
      <c r="X11" s="59"/>
      <c r="Y11" s="59"/>
      <c r="Z11" s="59"/>
    </row>
    <row r="12" ht="12.75" hidden="1" customHeight="1">
      <c r="A12" s="59"/>
      <c r="B12" s="59"/>
      <c r="C12" s="59"/>
      <c r="D12" s="59"/>
      <c r="E12" s="59"/>
      <c r="F12" s="59"/>
      <c r="G12" s="59"/>
      <c r="H12" s="59"/>
      <c r="I12" s="59"/>
      <c r="J12" s="59"/>
      <c r="K12" s="59"/>
      <c r="L12" s="59"/>
      <c r="M12" s="59"/>
      <c r="N12" s="59"/>
      <c r="O12" s="59"/>
      <c r="P12" s="59"/>
      <c r="Q12" s="59"/>
      <c r="R12" s="59"/>
      <c r="S12" s="59"/>
      <c r="T12" s="59"/>
      <c r="U12" s="59"/>
      <c r="V12" s="59"/>
      <c r="W12" s="59"/>
      <c r="X12" s="59"/>
      <c r="Y12" s="59"/>
      <c r="Z12" s="59"/>
    </row>
    <row r="13" ht="12.75" hidden="1" customHeight="1">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row>
    <row r="14" ht="12.75" hidden="1" customHeight="1">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row>
    <row r="15" ht="12.75" hidden="1" customHeight="1">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row>
    <row r="16" ht="12.75" hidden="1" customHeight="1">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row>
    <row r="17" ht="12.75" hidden="1" customHeight="1">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row>
    <row r="18" ht="12.75" hidden="1" customHeight="1">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row>
    <row r="19" ht="12.75" hidden="1" customHeight="1">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row>
    <row r="20" ht="12.75" hidden="1" customHeight="1">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row>
    <row r="21" ht="12.75" hidden="1" customHeight="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row r="22" ht="12.75" hidden="1" customHeight="1">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row>
    <row r="23" ht="12.75" hidden="1" customHeight="1">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row>
    <row r="24" ht="12.75" hidden="1" customHeight="1">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row>
    <row r="25" ht="12.75" hidden="1" customHeight="1">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ht="12.75" hidden="1" customHeight="1">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ht="12.75" hidden="1" customHeight="1">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ht="12.75" hidden="1" customHeight="1">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ht="12.75" hidden="1" customHeight="1">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ht="12.75" hidden="1" customHeight="1">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ht="12.75" hidden="1" customHeight="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ht="12.75" hidden="1" customHeight="1">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ht="12.75" hidden="1" customHeight="1">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ht="12.75" hidden="1" customHeight="1">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ht="12.75" hidden="1" customHeight="1">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ht="12.75" hidden="1" customHeight="1">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ht="12.75" hidden="1" customHeight="1">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ht="12.75" hidden="1" customHeight="1">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ht="12.75" hidden="1" customHeight="1">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ht="12.75" hidden="1" customHeight="1">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ht="12.75" hidden="1" customHeight="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ht="12.75" hidden="1" customHeight="1">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ht="12.75" hidden="1" customHeight="1">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ht="12.75" hidden="1" customHeight="1">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ht="12.75" hidden="1" customHeight="1">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ht="12.75" hidden="1" customHeight="1">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ht="12.75" hidden="1" customHeight="1">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ht="12.75" hidden="1" customHeight="1">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ht="12.75" hidden="1" customHeight="1">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ht="12.75" hidden="1" customHeight="1">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ht="12.75" hidden="1" customHeight="1">
      <c r="A51" s="59"/>
      <c r="B51" s="59"/>
      <c r="C51" s="59" t="s">
        <v>0</v>
      </c>
      <c r="D51" s="59"/>
      <c r="E51" s="59"/>
      <c r="F51" s="59"/>
      <c r="G51" s="59"/>
      <c r="H51" s="59"/>
      <c r="I51" s="59"/>
      <c r="J51" s="59"/>
      <c r="K51" s="59"/>
      <c r="L51" s="59"/>
      <c r="M51" s="59"/>
      <c r="N51" s="59"/>
      <c r="O51" s="59"/>
      <c r="P51" s="59"/>
      <c r="Q51" s="59"/>
      <c r="R51" s="59"/>
      <c r="S51" s="59"/>
      <c r="T51" s="59"/>
      <c r="U51" s="59"/>
      <c r="V51" s="59"/>
      <c r="W51" s="59"/>
      <c r="X51" s="59"/>
      <c r="Y51" s="59"/>
      <c r="Z51" s="59"/>
    </row>
    <row r="52" ht="12.75" hidden="1" customHeight="1">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ht="12.75" hidden="1" customHeight="1">
      <c r="A53" s="59"/>
      <c r="B53" s="59"/>
      <c r="C53" s="6" t="s">
        <v>1</v>
      </c>
      <c r="D53" s="6" t="s">
        <v>2</v>
      </c>
      <c r="E53" s="59"/>
      <c r="F53" s="59"/>
      <c r="G53" s="59"/>
      <c r="H53" s="59"/>
      <c r="I53" s="59"/>
      <c r="J53" s="59"/>
      <c r="K53" s="59"/>
      <c r="L53" s="59"/>
      <c r="M53" s="59"/>
      <c r="N53" s="59"/>
      <c r="O53" s="59"/>
      <c r="P53" s="59"/>
      <c r="Q53" s="59"/>
      <c r="R53" s="59"/>
      <c r="S53" s="59"/>
      <c r="T53" s="59"/>
      <c r="U53" s="59"/>
      <c r="V53" s="59"/>
      <c r="W53" s="59"/>
      <c r="X53" s="59"/>
      <c r="Y53" s="59"/>
      <c r="Z53" s="59"/>
    </row>
    <row r="54" ht="12.75" hidden="1" customHeight="1">
      <c r="A54" s="59"/>
      <c r="B54" s="59"/>
      <c r="C54" s="60" t="s">
        <v>3</v>
      </c>
      <c r="D54" s="61" t="s">
        <v>4</v>
      </c>
      <c r="E54" s="59"/>
      <c r="F54" s="59"/>
      <c r="G54" s="59"/>
      <c r="H54" s="59"/>
      <c r="I54" s="59"/>
      <c r="J54" s="59"/>
      <c r="K54" s="59"/>
      <c r="L54" s="59"/>
      <c r="M54" s="59"/>
      <c r="N54" s="59"/>
      <c r="O54" s="59"/>
      <c r="P54" s="59"/>
      <c r="Q54" s="59"/>
      <c r="R54" s="59"/>
      <c r="S54" s="59"/>
      <c r="T54" s="59"/>
      <c r="U54" s="59"/>
      <c r="V54" s="59"/>
      <c r="W54" s="59"/>
      <c r="X54" s="59"/>
      <c r="Y54" s="59"/>
      <c r="Z54" s="59"/>
    </row>
    <row r="55" ht="12.75" hidden="1" customHeight="1">
      <c r="A55" s="59"/>
      <c r="B55" s="59"/>
      <c r="C55" s="60" t="s">
        <v>5</v>
      </c>
      <c r="D55" s="61" t="s">
        <v>6</v>
      </c>
      <c r="E55" s="59"/>
      <c r="F55" s="59"/>
      <c r="G55" s="59"/>
      <c r="H55" s="59"/>
      <c r="I55" s="59"/>
      <c r="J55" s="59"/>
      <c r="K55" s="59"/>
      <c r="L55" s="59"/>
      <c r="M55" s="59"/>
      <c r="N55" s="59"/>
      <c r="O55" s="59"/>
      <c r="P55" s="59"/>
      <c r="Q55" s="59"/>
      <c r="R55" s="59"/>
      <c r="S55" s="59"/>
      <c r="T55" s="59"/>
      <c r="U55" s="59"/>
      <c r="V55" s="59"/>
      <c r="W55" s="59"/>
      <c r="X55" s="59"/>
      <c r="Y55" s="59"/>
      <c r="Z55" s="59"/>
    </row>
    <row r="56" ht="12.75" hidden="1" customHeight="1">
      <c r="A56" s="59"/>
      <c r="B56" s="59"/>
      <c r="C56" s="60" t="s">
        <v>7</v>
      </c>
      <c r="D56" s="62" t="s">
        <v>363</v>
      </c>
      <c r="E56" s="59"/>
      <c r="F56" s="59"/>
      <c r="G56" s="59"/>
      <c r="H56" s="59"/>
      <c r="I56" s="59"/>
      <c r="J56" s="59"/>
      <c r="K56" s="59"/>
      <c r="L56" s="59"/>
      <c r="M56" s="59"/>
      <c r="N56" s="59"/>
      <c r="O56" s="59"/>
      <c r="P56" s="59"/>
      <c r="Q56" s="59"/>
      <c r="R56" s="59"/>
      <c r="S56" s="59"/>
      <c r="T56" s="59"/>
      <c r="U56" s="59"/>
      <c r="V56" s="59"/>
      <c r="W56" s="59"/>
      <c r="X56" s="59"/>
      <c r="Y56" s="59"/>
      <c r="Z56" s="59"/>
    </row>
    <row r="57" ht="12.75" hidden="1" customHeight="1">
      <c r="A57" s="59"/>
      <c r="B57" s="59"/>
      <c r="C57" s="60" t="s">
        <v>9</v>
      </c>
      <c r="D57" s="61" t="s">
        <v>10</v>
      </c>
      <c r="E57" s="59"/>
      <c r="F57" s="59"/>
      <c r="G57" s="59"/>
      <c r="H57" s="59"/>
      <c r="I57" s="59"/>
      <c r="J57" s="59"/>
      <c r="K57" s="59"/>
      <c r="L57" s="59"/>
      <c r="M57" s="59"/>
      <c r="N57" s="59"/>
      <c r="O57" s="59"/>
      <c r="P57" s="59"/>
      <c r="Q57" s="59"/>
      <c r="R57" s="59"/>
      <c r="S57" s="59"/>
      <c r="T57" s="59"/>
      <c r="U57" s="59"/>
      <c r="V57" s="59"/>
      <c r="W57" s="59"/>
      <c r="X57" s="59"/>
      <c r="Y57" s="59"/>
      <c r="Z57" s="59"/>
    </row>
    <row r="58" ht="12.75" hidden="1" customHeight="1">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ht="12.75" hidden="1" customHeight="1">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ht="18.0" hidden="1" customHeight="1">
      <c r="A60" s="59"/>
      <c r="B60" s="59"/>
      <c r="C60" s="63" t="s">
        <v>364</v>
      </c>
      <c r="D60" s="64">
        <v>0.4</v>
      </c>
      <c r="E60" s="65" t="s">
        <v>365</v>
      </c>
      <c r="F60" s="66">
        <v>0.08</v>
      </c>
      <c r="G60" s="67">
        <f>+F60/18</f>
        <v>0.004444444444</v>
      </c>
      <c r="H60" s="59"/>
      <c r="I60" s="59"/>
      <c r="J60" s="59"/>
      <c r="K60" s="59"/>
      <c r="L60" s="59"/>
      <c r="M60" s="59"/>
      <c r="N60" s="59"/>
      <c r="O60" s="59"/>
      <c r="P60" s="59"/>
      <c r="Q60" s="59"/>
      <c r="R60" s="59"/>
      <c r="S60" s="59"/>
      <c r="T60" s="59"/>
      <c r="U60" s="59"/>
      <c r="V60" s="59"/>
      <c r="W60" s="59"/>
      <c r="X60" s="59"/>
      <c r="Y60" s="59"/>
      <c r="Z60" s="59"/>
    </row>
    <row r="61" ht="12.75" hidden="1" customHeight="1">
      <c r="A61" s="59"/>
      <c r="B61" s="59"/>
      <c r="C61" s="68"/>
      <c r="D61" s="69"/>
      <c r="E61" s="70" t="s">
        <v>366</v>
      </c>
      <c r="F61" s="71">
        <v>0.08</v>
      </c>
      <c r="G61" s="72">
        <f>+F61/13</f>
        <v>0.006153846154</v>
      </c>
      <c r="H61" s="73"/>
      <c r="I61" s="59"/>
      <c r="J61" s="59"/>
      <c r="K61" s="59"/>
      <c r="L61" s="59"/>
      <c r="M61" s="59"/>
      <c r="N61" s="59"/>
      <c r="O61" s="59"/>
      <c r="P61" s="59"/>
      <c r="Q61" s="59"/>
      <c r="R61" s="59"/>
      <c r="S61" s="59"/>
      <c r="T61" s="59"/>
      <c r="U61" s="59"/>
      <c r="V61" s="59"/>
      <c r="W61" s="59"/>
      <c r="X61" s="59"/>
      <c r="Y61" s="59"/>
      <c r="Z61" s="59"/>
    </row>
    <row r="62" ht="12.75" hidden="1" customHeight="1">
      <c r="A62" s="59"/>
      <c r="B62" s="59"/>
      <c r="C62" s="68"/>
      <c r="D62" s="69"/>
      <c r="E62" s="70" t="s">
        <v>367</v>
      </c>
      <c r="F62" s="71">
        <v>0.06</v>
      </c>
      <c r="G62" s="74">
        <f>+F62/12</f>
        <v>0.005</v>
      </c>
      <c r="H62" s="59"/>
      <c r="I62" s="59"/>
      <c r="J62" s="59"/>
      <c r="K62" s="59"/>
      <c r="L62" s="59"/>
      <c r="M62" s="59"/>
      <c r="N62" s="59"/>
      <c r="O62" s="59"/>
      <c r="P62" s="59"/>
      <c r="Q62" s="59"/>
      <c r="R62" s="59"/>
      <c r="S62" s="59"/>
      <c r="T62" s="59"/>
      <c r="U62" s="59"/>
      <c r="V62" s="59"/>
      <c r="W62" s="59"/>
      <c r="X62" s="59"/>
      <c r="Y62" s="59"/>
      <c r="Z62" s="59"/>
    </row>
    <row r="63" ht="16.5" hidden="1" customHeight="1">
      <c r="A63" s="59"/>
      <c r="B63" s="59"/>
      <c r="C63" s="68"/>
      <c r="D63" s="69"/>
      <c r="E63" s="70" t="s">
        <v>368</v>
      </c>
      <c r="F63" s="71">
        <v>0.08</v>
      </c>
      <c r="G63" s="74">
        <f>+F63/15</f>
        <v>0.005333333333</v>
      </c>
      <c r="H63" s="59"/>
      <c r="I63" s="59"/>
      <c r="J63" s="59"/>
      <c r="K63" s="59"/>
      <c r="L63" s="59"/>
      <c r="M63" s="59"/>
      <c r="N63" s="59"/>
      <c r="O63" s="59"/>
      <c r="P63" s="59"/>
      <c r="Q63" s="59"/>
      <c r="R63" s="59"/>
      <c r="S63" s="59"/>
      <c r="T63" s="59"/>
      <c r="U63" s="59"/>
      <c r="V63" s="59"/>
      <c r="W63" s="59"/>
      <c r="X63" s="59"/>
      <c r="Y63" s="59"/>
      <c r="Z63" s="59"/>
    </row>
    <row r="64" ht="16.5" hidden="1" customHeight="1">
      <c r="A64" s="59"/>
      <c r="B64" s="59"/>
      <c r="C64" s="68"/>
      <c r="D64" s="69"/>
      <c r="E64" s="75" t="s">
        <v>369</v>
      </c>
      <c r="F64" s="71">
        <v>0.03</v>
      </c>
      <c r="G64" s="74">
        <f>+F64/1</f>
        <v>0.03</v>
      </c>
      <c r="H64" s="59"/>
      <c r="I64" s="59"/>
      <c r="J64" s="59"/>
      <c r="K64" s="59"/>
      <c r="L64" s="59"/>
      <c r="M64" s="59"/>
      <c r="N64" s="59"/>
      <c r="O64" s="59"/>
      <c r="P64" s="59"/>
      <c r="Q64" s="59"/>
      <c r="R64" s="59"/>
      <c r="S64" s="59"/>
      <c r="T64" s="59"/>
      <c r="U64" s="59"/>
      <c r="V64" s="59"/>
      <c r="W64" s="59"/>
      <c r="X64" s="59"/>
      <c r="Y64" s="59"/>
      <c r="Z64" s="59"/>
    </row>
    <row r="65" ht="12.75" hidden="1" customHeight="1">
      <c r="A65" s="59"/>
      <c r="B65" s="59"/>
      <c r="C65" s="76"/>
      <c r="D65" s="77"/>
      <c r="E65" s="78" t="s">
        <v>370</v>
      </c>
      <c r="F65" s="79">
        <v>0.07</v>
      </c>
      <c r="G65" s="80">
        <f>+F65/31</f>
        <v>0.002258064516</v>
      </c>
      <c r="H65" s="59"/>
      <c r="I65" s="59"/>
      <c r="J65" s="59"/>
      <c r="K65" s="59"/>
      <c r="L65" s="59"/>
      <c r="M65" s="59"/>
      <c r="N65" s="59"/>
      <c r="O65" s="59"/>
      <c r="P65" s="59"/>
      <c r="Q65" s="59"/>
      <c r="R65" s="59"/>
      <c r="S65" s="59"/>
      <c r="T65" s="59"/>
      <c r="U65" s="59"/>
      <c r="V65" s="59"/>
      <c r="W65" s="59"/>
      <c r="X65" s="59"/>
      <c r="Y65" s="59"/>
      <c r="Z65" s="59"/>
    </row>
    <row r="66" ht="12.75" hidden="1" customHeight="1">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ht="12.75" hidden="1" customHeight="1">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ht="12.75" customHeight="1">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ht="16.5" customHeight="1">
      <c r="A69" s="59"/>
      <c r="B69" s="81" t="s">
        <v>371</v>
      </c>
      <c r="C69" s="29"/>
      <c r="D69" s="30"/>
      <c r="E69" s="28" t="s">
        <v>22</v>
      </c>
      <c r="F69" s="29"/>
      <c r="G69" s="29"/>
      <c r="H69" s="29"/>
      <c r="I69" s="29"/>
      <c r="J69" s="30"/>
      <c r="K69" s="59"/>
      <c r="L69" s="59"/>
      <c r="M69" s="59"/>
      <c r="N69" s="59"/>
      <c r="O69" s="59"/>
      <c r="P69" s="59"/>
      <c r="Q69" s="59"/>
      <c r="R69" s="59"/>
      <c r="S69" s="59"/>
      <c r="T69" s="59"/>
      <c r="U69" s="59"/>
      <c r="V69" s="59"/>
      <c r="W69" s="59"/>
      <c r="X69" s="59"/>
      <c r="Y69" s="59"/>
      <c r="Z69" s="59"/>
    </row>
    <row r="70" ht="39.0" customHeight="1">
      <c r="A70" s="59"/>
      <c r="B70" s="82" t="s">
        <v>372</v>
      </c>
      <c r="C70" s="82" t="s">
        <v>373</v>
      </c>
      <c r="D70" s="82" t="s">
        <v>25</v>
      </c>
      <c r="E70" s="83" t="s">
        <v>27</v>
      </c>
      <c r="F70" s="83" t="s">
        <v>1</v>
      </c>
      <c r="G70" s="83" t="s">
        <v>28</v>
      </c>
      <c r="H70" s="83" t="s">
        <v>29</v>
      </c>
      <c r="I70" s="83" t="s">
        <v>30</v>
      </c>
      <c r="J70" s="83" t="s">
        <v>31</v>
      </c>
      <c r="K70" s="59"/>
      <c r="L70" s="59"/>
      <c r="M70" s="59"/>
      <c r="N70" s="59"/>
      <c r="O70" s="59"/>
      <c r="P70" s="59"/>
      <c r="Q70" s="59"/>
      <c r="R70" s="59"/>
      <c r="S70" s="59"/>
      <c r="T70" s="59"/>
      <c r="U70" s="59"/>
      <c r="V70" s="59"/>
      <c r="W70" s="59"/>
      <c r="X70" s="59"/>
      <c r="Y70" s="59"/>
      <c r="Z70" s="59"/>
    </row>
    <row r="71" ht="12.75" customHeight="1">
      <c r="A71" s="59"/>
      <c r="B71" s="84" t="s">
        <v>374</v>
      </c>
      <c r="C71" s="84" t="s">
        <v>375</v>
      </c>
      <c r="D71" s="85" t="s">
        <v>376</v>
      </c>
      <c r="E71" s="84"/>
      <c r="F71" s="61" t="str">
        <f t="shared" ref="F71:F160" si="1">+IF(E71=$D$54,$C$54,IF(E71=$D$55,$C$55,IF(E71=$D$56,$C$56,IF(E71=$D$57,$C$57,"Por favor diligenciar tipo de soporte funcionalidad"))))</f>
        <v>Por favor diligenciar tipo de soporte funcionalidad</v>
      </c>
      <c r="G71" s="86"/>
      <c r="H71" s="86"/>
      <c r="I71" s="86"/>
      <c r="J71" s="87">
        <f t="shared" ref="J71:J73" si="2">+IF(F71=$C$54,$G$61,IF(F71=$C$55,$G$61*75%,IF(F71=$C$56,$G$61*50%,IF(F71=$C$57,$G$61*0%,0%))))</f>
        <v>0</v>
      </c>
      <c r="K71" s="59"/>
      <c r="L71" s="59"/>
      <c r="M71" s="59"/>
      <c r="N71" s="59"/>
      <c r="O71" s="59"/>
      <c r="P71" s="59"/>
      <c r="Q71" s="59"/>
      <c r="R71" s="59"/>
      <c r="S71" s="59"/>
      <c r="T71" s="59"/>
      <c r="U71" s="59"/>
      <c r="V71" s="59"/>
      <c r="W71" s="59"/>
      <c r="X71" s="59"/>
      <c r="Y71" s="59"/>
      <c r="Z71" s="59"/>
    </row>
    <row r="72" ht="12.75" customHeight="1">
      <c r="A72" s="59"/>
      <c r="B72" s="84" t="s">
        <v>374</v>
      </c>
      <c r="C72" s="84" t="s">
        <v>375</v>
      </c>
      <c r="D72" s="85" t="s">
        <v>377</v>
      </c>
      <c r="E72" s="84"/>
      <c r="F72" s="61" t="str">
        <f t="shared" si="1"/>
        <v>Por favor diligenciar tipo de soporte funcionalidad</v>
      </c>
      <c r="G72" s="86"/>
      <c r="H72" s="86"/>
      <c r="I72" s="86"/>
      <c r="J72" s="87">
        <f t="shared" si="2"/>
        <v>0</v>
      </c>
      <c r="K72" s="59"/>
      <c r="L72" s="59"/>
      <c r="M72" s="59"/>
      <c r="N72" s="59"/>
      <c r="O72" s="59"/>
      <c r="P72" s="59"/>
      <c r="Q72" s="59"/>
      <c r="R72" s="59"/>
      <c r="S72" s="59"/>
      <c r="T72" s="59"/>
      <c r="U72" s="59"/>
      <c r="V72" s="59"/>
      <c r="W72" s="59"/>
      <c r="X72" s="59"/>
      <c r="Y72" s="59"/>
      <c r="Z72" s="59"/>
    </row>
    <row r="73" ht="12.75" customHeight="1">
      <c r="A73" s="59"/>
      <c r="B73" s="84" t="s">
        <v>374</v>
      </c>
      <c r="C73" s="84" t="s">
        <v>375</v>
      </c>
      <c r="D73" s="85" t="s">
        <v>378</v>
      </c>
      <c r="E73" s="84"/>
      <c r="F73" s="61" t="str">
        <f t="shared" si="1"/>
        <v>Por favor diligenciar tipo de soporte funcionalidad</v>
      </c>
      <c r="G73" s="86"/>
      <c r="H73" s="86"/>
      <c r="I73" s="86"/>
      <c r="J73" s="87">
        <f t="shared" si="2"/>
        <v>0</v>
      </c>
      <c r="K73" s="59"/>
      <c r="L73" s="59"/>
      <c r="M73" s="59"/>
      <c r="N73" s="59"/>
      <c r="O73" s="59"/>
      <c r="P73" s="59"/>
      <c r="Q73" s="59"/>
      <c r="R73" s="59"/>
      <c r="S73" s="59"/>
      <c r="T73" s="59"/>
      <c r="U73" s="59"/>
      <c r="V73" s="59"/>
      <c r="W73" s="59"/>
      <c r="X73" s="59"/>
      <c r="Y73" s="59"/>
      <c r="Z73" s="59"/>
    </row>
    <row r="74" ht="12.75" customHeight="1">
      <c r="A74" s="59"/>
      <c r="B74" s="84" t="s">
        <v>379</v>
      </c>
      <c r="C74" s="84" t="s">
        <v>380</v>
      </c>
      <c r="D74" s="85" t="s">
        <v>381</v>
      </c>
      <c r="E74" s="84"/>
      <c r="F74" s="61" t="str">
        <f t="shared" si="1"/>
        <v>Por favor diligenciar tipo de soporte funcionalidad</v>
      </c>
      <c r="G74" s="86"/>
      <c r="H74" s="86"/>
      <c r="I74" s="86"/>
      <c r="J74" s="87">
        <f>+IF(F74=$C$54,$G$60,IF(F74=$C$55,$G$60*75%,IF(F74=$C$56,$G$60*50%,IF(F74=$C$57,$G$60*0%,0%))))</f>
        <v>0</v>
      </c>
      <c r="K74" s="59"/>
      <c r="L74" s="59"/>
      <c r="M74" s="59"/>
      <c r="N74" s="59"/>
      <c r="O74" s="59"/>
      <c r="P74" s="59"/>
      <c r="Q74" s="59"/>
      <c r="R74" s="59"/>
      <c r="S74" s="59"/>
      <c r="T74" s="59"/>
      <c r="U74" s="59"/>
      <c r="V74" s="59"/>
      <c r="W74" s="59"/>
      <c r="X74" s="59"/>
      <c r="Y74" s="59"/>
      <c r="Z74" s="59"/>
    </row>
    <row r="75" ht="12.75" customHeight="1">
      <c r="A75" s="59"/>
      <c r="B75" s="84" t="s">
        <v>374</v>
      </c>
      <c r="C75" s="84" t="s">
        <v>375</v>
      </c>
      <c r="D75" s="85" t="s">
        <v>382</v>
      </c>
      <c r="E75" s="84"/>
      <c r="F75" s="61" t="str">
        <f t="shared" si="1"/>
        <v>Por favor diligenciar tipo de soporte funcionalidad</v>
      </c>
      <c r="G75" s="86"/>
      <c r="H75" s="86"/>
      <c r="I75" s="86"/>
      <c r="J75" s="87">
        <f>+IF(F75=$C$54,$G$61,IF(F75=$C$55,$G$61*75%,IF(F75=$C$56,$G$61*50%,IF(F75=$C$57,$G$61*0%,0%))))</f>
        <v>0</v>
      </c>
      <c r="K75" s="59"/>
      <c r="L75" s="59"/>
      <c r="M75" s="59"/>
      <c r="N75" s="59"/>
      <c r="O75" s="59"/>
      <c r="P75" s="59"/>
      <c r="Q75" s="59"/>
      <c r="R75" s="59"/>
      <c r="S75" s="59"/>
      <c r="T75" s="59"/>
      <c r="U75" s="59"/>
      <c r="V75" s="59"/>
      <c r="W75" s="59"/>
      <c r="X75" s="59"/>
      <c r="Y75" s="59"/>
      <c r="Z75" s="59"/>
    </row>
    <row r="76" ht="12.75" customHeight="1">
      <c r="A76" s="59"/>
      <c r="B76" s="84" t="s">
        <v>379</v>
      </c>
      <c r="C76" s="84" t="s">
        <v>383</v>
      </c>
      <c r="D76" s="85" t="s">
        <v>384</v>
      </c>
      <c r="E76" s="84"/>
      <c r="F76" s="61" t="str">
        <f t="shared" si="1"/>
        <v>Por favor diligenciar tipo de soporte funcionalidad</v>
      </c>
      <c r="G76" s="86"/>
      <c r="H76" s="86"/>
      <c r="I76" s="86"/>
      <c r="J76" s="87">
        <f>+IF(F76=$C$54,$G$60,IF(F76=$C$55,$G$60*75%,IF(F76=$C$56,$G$60*50%,IF(F76=$C$57,$G$60*0%,0%))))</f>
        <v>0</v>
      </c>
      <c r="K76" s="59"/>
      <c r="L76" s="59"/>
      <c r="M76" s="59"/>
      <c r="N76" s="59"/>
      <c r="O76" s="59"/>
      <c r="P76" s="59"/>
      <c r="Q76" s="59"/>
      <c r="R76" s="59"/>
      <c r="S76" s="59"/>
      <c r="T76" s="59"/>
      <c r="U76" s="59"/>
      <c r="V76" s="59"/>
      <c r="W76" s="59"/>
      <c r="X76" s="59"/>
      <c r="Y76" s="59"/>
      <c r="Z76" s="59"/>
    </row>
    <row r="77" ht="12.75" customHeight="1">
      <c r="A77" s="59"/>
      <c r="B77" s="84" t="s">
        <v>374</v>
      </c>
      <c r="C77" s="84" t="s">
        <v>375</v>
      </c>
      <c r="D77" s="85" t="s">
        <v>385</v>
      </c>
      <c r="E77" s="84"/>
      <c r="F77" s="61" t="str">
        <f t="shared" si="1"/>
        <v>Por favor diligenciar tipo de soporte funcionalidad</v>
      </c>
      <c r="G77" s="86"/>
      <c r="H77" s="86"/>
      <c r="I77" s="86"/>
      <c r="J77" s="87">
        <f t="shared" ref="J77:J85" si="3">+IF(F77=$C$54,$G$61,IF(F77=$C$55,$G$61*75%,IF(F77=$C$56,$G$61*50%,IF(F77=$C$57,$G$61*0%,0%))))</f>
        <v>0</v>
      </c>
      <c r="K77" s="59"/>
      <c r="L77" s="59"/>
      <c r="M77" s="59"/>
      <c r="N77" s="59"/>
      <c r="O77" s="59"/>
      <c r="P77" s="59"/>
      <c r="Q77" s="59"/>
      <c r="R77" s="59"/>
      <c r="S77" s="59"/>
      <c r="T77" s="59"/>
      <c r="U77" s="59"/>
      <c r="V77" s="59"/>
      <c r="W77" s="59"/>
      <c r="X77" s="59"/>
      <c r="Y77" s="59"/>
      <c r="Z77" s="59"/>
    </row>
    <row r="78" ht="12.75" customHeight="1">
      <c r="A78" s="59"/>
      <c r="B78" s="84" t="s">
        <v>374</v>
      </c>
      <c r="C78" s="84" t="s">
        <v>375</v>
      </c>
      <c r="D78" s="85" t="s">
        <v>386</v>
      </c>
      <c r="E78" s="84"/>
      <c r="F78" s="61" t="str">
        <f t="shared" si="1"/>
        <v>Por favor diligenciar tipo de soporte funcionalidad</v>
      </c>
      <c r="G78" s="86"/>
      <c r="H78" s="86"/>
      <c r="I78" s="86"/>
      <c r="J78" s="87">
        <f t="shared" si="3"/>
        <v>0</v>
      </c>
      <c r="K78" s="59"/>
      <c r="L78" s="59"/>
      <c r="M78" s="59"/>
      <c r="N78" s="59"/>
      <c r="O78" s="59"/>
      <c r="P78" s="59"/>
      <c r="Q78" s="59"/>
      <c r="R78" s="59"/>
      <c r="S78" s="59"/>
      <c r="T78" s="59"/>
      <c r="U78" s="59"/>
      <c r="V78" s="59"/>
      <c r="W78" s="59"/>
      <c r="X78" s="59"/>
      <c r="Y78" s="59"/>
      <c r="Z78" s="59"/>
    </row>
    <row r="79" ht="12.75" customHeight="1">
      <c r="A79" s="59"/>
      <c r="B79" s="84" t="s">
        <v>374</v>
      </c>
      <c r="C79" s="84" t="s">
        <v>375</v>
      </c>
      <c r="D79" s="85" t="s">
        <v>387</v>
      </c>
      <c r="E79" s="84"/>
      <c r="F79" s="61" t="str">
        <f t="shared" si="1"/>
        <v>Por favor diligenciar tipo de soporte funcionalidad</v>
      </c>
      <c r="G79" s="86"/>
      <c r="H79" s="86"/>
      <c r="I79" s="86"/>
      <c r="J79" s="87">
        <f t="shared" si="3"/>
        <v>0</v>
      </c>
      <c r="K79" s="59"/>
      <c r="L79" s="59"/>
      <c r="M79" s="59"/>
      <c r="N79" s="59"/>
      <c r="O79" s="59"/>
      <c r="P79" s="59"/>
      <c r="Q79" s="59"/>
      <c r="R79" s="59"/>
      <c r="S79" s="59"/>
      <c r="T79" s="59"/>
      <c r="U79" s="59"/>
      <c r="V79" s="59"/>
      <c r="W79" s="59"/>
      <c r="X79" s="59"/>
      <c r="Y79" s="59"/>
      <c r="Z79" s="59"/>
    </row>
    <row r="80" ht="12.75" customHeight="1">
      <c r="A80" s="59"/>
      <c r="B80" s="84" t="s">
        <v>374</v>
      </c>
      <c r="C80" s="84" t="s">
        <v>375</v>
      </c>
      <c r="D80" s="85" t="s">
        <v>388</v>
      </c>
      <c r="E80" s="84"/>
      <c r="F80" s="61" t="str">
        <f t="shared" si="1"/>
        <v>Por favor diligenciar tipo de soporte funcionalidad</v>
      </c>
      <c r="G80" s="86"/>
      <c r="H80" s="86"/>
      <c r="I80" s="86"/>
      <c r="J80" s="87">
        <f t="shared" si="3"/>
        <v>0</v>
      </c>
      <c r="K80" s="59"/>
      <c r="L80" s="59"/>
      <c r="M80" s="59"/>
      <c r="N80" s="59"/>
      <c r="O80" s="59"/>
      <c r="P80" s="59"/>
      <c r="Q80" s="59"/>
      <c r="R80" s="59"/>
      <c r="S80" s="59"/>
      <c r="T80" s="59"/>
      <c r="U80" s="59"/>
      <c r="V80" s="59"/>
      <c r="W80" s="59"/>
      <c r="X80" s="59"/>
      <c r="Y80" s="59"/>
      <c r="Z80" s="59"/>
    </row>
    <row r="81" ht="12.75" customHeight="1">
      <c r="A81" s="59"/>
      <c r="B81" s="84" t="s">
        <v>374</v>
      </c>
      <c r="C81" s="84" t="s">
        <v>375</v>
      </c>
      <c r="D81" s="85" t="s">
        <v>389</v>
      </c>
      <c r="E81" s="84"/>
      <c r="F81" s="61" t="str">
        <f t="shared" si="1"/>
        <v>Por favor diligenciar tipo de soporte funcionalidad</v>
      </c>
      <c r="G81" s="86"/>
      <c r="H81" s="86"/>
      <c r="I81" s="86"/>
      <c r="J81" s="87">
        <f t="shared" si="3"/>
        <v>0</v>
      </c>
      <c r="K81" s="59"/>
      <c r="L81" s="59"/>
      <c r="M81" s="59"/>
      <c r="N81" s="59"/>
      <c r="O81" s="59"/>
      <c r="P81" s="59"/>
      <c r="Q81" s="59"/>
      <c r="R81" s="59"/>
      <c r="S81" s="59"/>
      <c r="T81" s="59"/>
      <c r="U81" s="59"/>
      <c r="V81" s="59"/>
      <c r="W81" s="59"/>
      <c r="X81" s="59"/>
      <c r="Y81" s="59"/>
      <c r="Z81" s="59"/>
    </row>
    <row r="82" ht="12.75" customHeight="1">
      <c r="A82" s="59"/>
      <c r="B82" s="84" t="s">
        <v>374</v>
      </c>
      <c r="C82" s="84" t="s">
        <v>375</v>
      </c>
      <c r="D82" s="85" t="s">
        <v>390</v>
      </c>
      <c r="E82" s="84"/>
      <c r="F82" s="61" t="str">
        <f t="shared" si="1"/>
        <v>Por favor diligenciar tipo de soporte funcionalidad</v>
      </c>
      <c r="G82" s="86"/>
      <c r="H82" s="86"/>
      <c r="I82" s="86"/>
      <c r="J82" s="87">
        <f t="shared" si="3"/>
        <v>0</v>
      </c>
      <c r="K82" s="59"/>
      <c r="L82" s="59"/>
      <c r="M82" s="59"/>
      <c r="N82" s="59"/>
      <c r="O82" s="59"/>
      <c r="P82" s="59"/>
      <c r="Q82" s="59"/>
      <c r="R82" s="59"/>
      <c r="S82" s="59"/>
      <c r="T82" s="59"/>
      <c r="U82" s="59"/>
      <c r="V82" s="59"/>
      <c r="W82" s="59"/>
      <c r="X82" s="59"/>
      <c r="Y82" s="59"/>
      <c r="Z82" s="59"/>
    </row>
    <row r="83" ht="12.75" customHeight="1">
      <c r="A83" s="59"/>
      <c r="B83" s="84" t="s">
        <v>374</v>
      </c>
      <c r="C83" s="84" t="s">
        <v>375</v>
      </c>
      <c r="D83" s="85" t="s">
        <v>391</v>
      </c>
      <c r="E83" s="84"/>
      <c r="F83" s="61" t="str">
        <f t="shared" si="1"/>
        <v>Por favor diligenciar tipo de soporte funcionalidad</v>
      </c>
      <c r="G83" s="86"/>
      <c r="H83" s="86"/>
      <c r="I83" s="86"/>
      <c r="J83" s="87">
        <f t="shared" si="3"/>
        <v>0</v>
      </c>
      <c r="K83" s="59"/>
      <c r="L83" s="59"/>
      <c r="M83" s="59"/>
      <c r="N83" s="59"/>
      <c r="O83" s="59"/>
      <c r="P83" s="59"/>
      <c r="Q83" s="59"/>
      <c r="R83" s="59"/>
      <c r="S83" s="59"/>
      <c r="T83" s="59"/>
      <c r="U83" s="59"/>
      <c r="V83" s="59"/>
      <c r="W83" s="59"/>
      <c r="X83" s="59"/>
      <c r="Y83" s="59"/>
      <c r="Z83" s="59"/>
    </row>
    <row r="84" ht="12.75" customHeight="1">
      <c r="A84" s="59"/>
      <c r="B84" s="84" t="s">
        <v>374</v>
      </c>
      <c r="C84" s="84" t="s">
        <v>375</v>
      </c>
      <c r="D84" s="85" t="s">
        <v>392</v>
      </c>
      <c r="E84" s="84"/>
      <c r="F84" s="61" t="str">
        <f t="shared" si="1"/>
        <v>Por favor diligenciar tipo de soporte funcionalidad</v>
      </c>
      <c r="G84" s="86"/>
      <c r="H84" s="86"/>
      <c r="I84" s="86"/>
      <c r="J84" s="87">
        <f t="shared" si="3"/>
        <v>0</v>
      </c>
      <c r="K84" s="59"/>
      <c r="L84" s="59"/>
      <c r="M84" s="59"/>
      <c r="N84" s="59"/>
      <c r="O84" s="59"/>
      <c r="P84" s="59"/>
      <c r="Q84" s="59"/>
      <c r="R84" s="59"/>
      <c r="S84" s="59"/>
      <c r="T84" s="59"/>
      <c r="U84" s="59"/>
      <c r="V84" s="59"/>
      <c r="W84" s="59"/>
      <c r="X84" s="59"/>
      <c r="Y84" s="59"/>
      <c r="Z84" s="59"/>
    </row>
    <row r="85" ht="12.75" customHeight="1">
      <c r="A85" s="59"/>
      <c r="B85" s="84" t="s">
        <v>374</v>
      </c>
      <c r="C85" s="84" t="s">
        <v>375</v>
      </c>
      <c r="D85" s="85" t="s">
        <v>393</v>
      </c>
      <c r="E85" s="84"/>
      <c r="F85" s="61" t="str">
        <f t="shared" si="1"/>
        <v>Por favor diligenciar tipo de soporte funcionalidad</v>
      </c>
      <c r="G85" s="86"/>
      <c r="H85" s="86"/>
      <c r="I85" s="86"/>
      <c r="J85" s="87">
        <f t="shared" si="3"/>
        <v>0</v>
      </c>
      <c r="K85" s="59"/>
      <c r="L85" s="59"/>
      <c r="M85" s="59"/>
      <c r="N85" s="59"/>
      <c r="O85" s="59"/>
      <c r="P85" s="59"/>
      <c r="Q85" s="59"/>
      <c r="R85" s="59"/>
      <c r="S85" s="59"/>
      <c r="T85" s="59"/>
      <c r="U85" s="59"/>
      <c r="V85" s="59"/>
      <c r="W85" s="59"/>
      <c r="X85" s="59"/>
      <c r="Y85" s="59"/>
      <c r="Z85" s="59"/>
    </row>
    <row r="86" ht="12.75" customHeight="1">
      <c r="A86" s="59"/>
      <c r="B86" s="84" t="s">
        <v>379</v>
      </c>
      <c r="C86" s="84" t="s">
        <v>383</v>
      </c>
      <c r="D86" s="85" t="s">
        <v>394</v>
      </c>
      <c r="E86" s="84"/>
      <c r="F86" s="61" t="str">
        <f t="shared" si="1"/>
        <v>Por favor diligenciar tipo de soporte funcionalidad</v>
      </c>
      <c r="G86" s="86"/>
      <c r="H86" s="86"/>
      <c r="I86" s="86"/>
      <c r="J86" s="87">
        <f t="shared" ref="J86:J98" si="4">+IF(F86=$C$54,$G$60,IF(F86=$C$55,$G$60*75%,IF(F86=$C$56,$G$60*50%,IF(F86=$C$57,$G$60*0%,0%))))</f>
        <v>0</v>
      </c>
      <c r="K86" s="59"/>
      <c r="L86" s="59"/>
      <c r="M86" s="59"/>
      <c r="N86" s="59"/>
      <c r="O86" s="59"/>
      <c r="P86" s="59"/>
      <c r="Q86" s="59"/>
      <c r="R86" s="59"/>
      <c r="S86" s="59"/>
      <c r="T86" s="59"/>
      <c r="U86" s="59"/>
      <c r="V86" s="59"/>
      <c r="W86" s="59"/>
      <c r="X86" s="59"/>
      <c r="Y86" s="59"/>
      <c r="Z86" s="59"/>
    </row>
    <row r="87" ht="12.75" customHeight="1">
      <c r="A87" s="59"/>
      <c r="B87" s="84" t="s">
        <v>379</v>
      </c>
      <c r="C87" s="84" t="s">
        <v>383</v>
      </c>
      <c r="D87" s="85" t="s">
        <v>395</v>
      </c>
      <c r="E87" s="84"/>
      <c r="F87" s="61" t="str">
        <f t="shared" si="1"/>
        <v>Por favor diligenciar tipo de soporte funcionalidad</v>
      </c>
      <c r="G87" s="86"/>
      <c r="H87" s="86"/>
      <c r="I87" s="86"/>
      <c r="J87" s="87">
        <f t="shared" si="4"/>
        <v>0</v>
      </c>
      <c r="K87" s="59"/>
      <c r="L87" s="59"/>
      <c r="M87" s="59"/>
      <c r="N87" s="59"/>
      <c r="O87" s="59"/>
      <c r="P87" s="59"/>
      <c r="Q87" s="59"/>
      <c r="R87" s="59"/>
      <c r="S87" s="59"/>
      <c r="T87" s="59"/>
      <c r="U87" s="59"/>
      <c r="V87" s="59"/>
      <c r="W87" s="59"/>
      <c r="X87" s="59"/>
      <c r="Y87" s="59"/>
      <c r="Z87" s="59"/>
    </row>
    <row r="88" ht="12.75" customHeight="1">
      <c r="A88" s="59"/>
      <c r="B88" s="84" t="s">
        <v>379</v>
      </c>
      <c r="C88" s="84" t="s">
        <v>383</v>
      </c>
      <c r="D88" s="85" t="s">
        <v>396</v>
      </c>
      <c r="E88" s="84"/>
      <c r="F88" s="61" t="str">
        <f t="shared" si="1"/>
        <v>Por favor diligenciar tipo de soporte funcionalidad</v>
      </c>
      <c r="G88" s="86"/>
      <c r="H88" s="86"/>
      <c r="I88" s="86"/>
      <c r="J88" s="87">
        <f t="shared" si="4"/>
        <v>0</v>
      </c>
      <c r="K88" s="59"/>
      <c r="L88" s="59"/>
      <c r="M88" s="59"/>
      <c r="N88" s="59"/>
      <c r="O88" s="59"/>
      <c r="P88" s="59"/>
      <c r="Q88" s="59"/>
      <c r="R88" s="59"/>
      <c r="S88" s="59"/>
      <c r="T88" s="59"/>
      <c r="U88" s="59"/>
      <c r="V88" s="59"/>
      <c r="W88" s="59"/>
      <c r="X88" s="59"/>
      <c r="Y88" s="59"/>
      <c r="Z88" s="59"/>
    </row>
    <row r="89" ht="12.75" customHeight="1">
      <c r="A89" s="59"/>
      <c r="B89" s="84" t="s">
        <v>379</v>
      </c>
      <c r="C89" s="84" t="s">
        <v>383</v>
      </c>
      <c r="D89" s="85" t="s">
        <v>397</v>
      </c>
      <c r="E89" s="84"/>
      <c r="F89" s="61" t="str">
        <f t="shared" si="1"/>
        <v>Por favor diligenciar tipo de soporte funcionalidad</v>
      </c>
      <c r="G89" s="86"/>
      <c r="H89" s="86"/>
      <c r="I89" s="86"/>
      <c r="J89" s="87">
        <f t="shared" si="4"/>
        <v>0</v>
      </c>
      <c r="K89" s="59"/>
      <c r="L89" s="59"/>
      <c r="M89" s="59"/>
      <c r="N89" s="59"/>
      <c r="O89" s="59"/>
      <c r="P89" s="59"/>
      <c r="Q89" s="59"/>
      <c r="R89" s="59"/>
      <c r="S89" s="59"/>
      <c r="T89" s="59"/>
      <c r="U89" s="59"/>
      <c r="V89" s="59"/>
      <c r="W89" s="59"/>
      <c r="X89" s="59"/>
      <c r="Y89" s="59"/>
      <c r="Z89" s="59"/>
    </row>
    <row r="90" ht="12.75" customHeight="1">
      <c r="A90" s="59"/>
      <c r="B90" s="84" t="s">
        <v>379</v>
      </c>
      <c r="C90" s="84" t="s">
        <v>383</v>
      </c>
      <c r="D90" s="85" t="s">
        <v>398</v>
      </c>
      <c r="E90" s="84"/>
      <c r="F90" s="61" t="str">
        <f t="shared" si="1"/>
        <v>Por favor diligenciar tipo de soporte funcionalidad</v>
      </c>
      <c r="G90" s="86"/>
      <c r="H90" s="86"/>
      <c r="I90" s="86"/>
      <c r="J90" s="87">
        <f t="shared" si="4"/>
        <v>0</v>
      </c>
      <c r="K90" s="59"/>
      <c r="L90" s="59"/>
      <c r="M90" s="59"/>
      <c r="N90" s="59"/>
      <c r="O90" s="59"/>
      <c r="P90" s="59"/>
      <c r="Q90" s="59"/>
      <c r="R90" s="59"/>
      <c r="S90" s="59"/>
      <c r="T90" s="59"/>
      <c r="U90" s="59"/>
      <c r="V90" s="59"/>
      <c r="W90" s="59"/>
      <c r="X90" s="59"/>
      <c r="Y90" s="59"/>
      <c r="Z90" s="59"/>
    </row>
    <row r="91" ht="12.75" customHeight="1">
      <c r="A91" s="59"/>
      <c r="B91" s="84" t="s">
        <v>379</v>
      </c>
      <c r="C91" s="84" t="s">
        <v>383</v>
      </c>
      <c r="D91" s="85" t="s">
        <v>399</v>
      </c>
      <c r="E91" s="84"/>
      <c r="F91" s="61" t="str">
        <f t="shared" si="1"/>
        <v>Por favor diligenciar tipo de soporte funcionalidad</v>
      </c>
      <c r="G91" s="86"/>
      <c r="H91" s="86"/>
      <c r="I91" s="86"/>
      <c r="J91" s="87">
        <f t="shared" si="4"/>
        <v>0</v>
      </c>
      <c r="K91" s="59"/>
      <c r="L91" s="59"/>
      <c r="M91" s="59"/>
      <c r="N91" s="59"/>
      <c r="O91" s="59"/>
      <c r="P91" s="59"/>
      <c r="Q91" s="59"/>
      <c r="R91" s="59"/>
      <c r="S91" s="59"/>
      <c r="T91" s="59"/>
      <c r="U91" s="59"/>
      <c r="V91" s="59"/>
      <c r="W91" s="59"/>
      <c r="X91" s="59"/>
      <c r="Y91" s="59"/>
      <c r="Z91" s="59"/>
    </row>
    <row r="92" ht="12.75" customHeight="1">
      <c r="A92" s="59"/>
      <c r="B92" s="84" t="s">
        <v>379</v>
      </c>
      <c r="C92" s="84" t="s">
        <v>383</v>
      </c>
      <c r="D92" s="85" t="s">
        <v>400</v>
      </c>
      <c r="E92" s="84"/>
      <c r="F92" s="61" t="str">
        <f t="shared" si="1"/>
        <v>Por favor diligenciar tipo de soporte funcionalidad</v>
      </c>
      <c r="G92" s="86"/>
      <c r="H92" s="86"/>
      <c r="I92" s="86"/>
      <c r="J92" s="87">
        <f t="shared" si="4"/>
        <v>0</v>
      </c>
      <c r="K92" s="59"/>
      <c r="L92" s="59"/>
      <c r="M92" s="59"/>
      <c r="N92" s="59"/>
      <c r="O92" s="59"/>
      <c r="P92" s="59"/>
      <c r="Q92" s="59"/>
      <c r="R92" s="59"/>
      <c r="S92" s="59"/>
      <c r="T92" s="59"/>
      <c r="U92" s="59"/>
      <c r="V92" s="59"/>
      <c r="W92" s="59"/>
      <c r="X92" s="59"/>
      <c r="Y92" s="59"/>
      <c r="Z92" s="59"/>
    </row>
    <row r="93" ht="12.75" customHeight="1">
      <c r="A93" s="59"/>
      <c r="B93" s="84" t="s">
        <v>379</v>
      </c>
      <c r="C93" s="84" t="s">
        <v>383</v>
      </c>
      <c r="D93" s="85" t="s">
        <v>401</v>
      </c>
      <c r="E93" s="84"/>
      <c r="F93" s="61" t="str">
        <f t="shared" si="1"/>
        <v>Por favor diligenciar tipo de soporte funcionalidad</v>
      </c>
      <c r="G93" s="86"/>
      <c r="H93" s="86"/>
      <c r="I93" s="86"/>
      <c r="J93" s="87">
        <f t="shared" si="4"/>
        <v>0</v>
      </c>
      <c r="K93" s="59"/>
      <c r="L93" s="59"/>
      <c r="M93" s="59"/>
      <c r="N93" s="59"/>
      <c r="O93" s="59"/>
      <c r="P93" s="59"/>
      <c r="Q93" s="59"/>
      <c r="R93" s="59"/>
      <c r="S93" s="59"/>
      <c r="T93" s="59"/>
      <c r="U93" s="59"/>
      <c r="V93" s="59"/>
      <c r="W93" s="59"/>
      <c r="X93" s="59"/>
      <c r="Y93" s="59"/>
      <c r="Z93" s="59"/>
    </row>
    <row r="94" ht="17.25" customHeight="1">
      <c r="A94" s="59"/>
      <c r="B94" s="84" t="s">
        <v>379</v>
      </c>
      <c r="C94" s="84" t="s">
        <v>383</v>
      </c>
      <c r="D94" s="85" t="s">
        <v>402</v>
      </c>
      <c r="E94" s="84"/>
      <c r="F94" s="61" t="str">
        <f t="shared" si="1"/>
        <v>Por favor diligenciar tipo de soporte funcionalidad</v>
      </c>
      <c r="G94" s="86"/>
      <c r="H94" s="86"/>
      <c r="I94" s="86"/>
      <c r="J94" s="87">
        <f t="shared" si="4"/>
        <v>0</v>
      </c>
      <c r="K94" s="59"/>
      <c r="L94" s="59"/>
      <c r="M94" s="59"/>
      <c r="N94" s="59"/>
      <c r="O94" s="59"/>
      <c r="P94" s="59"/>
      <c r="Q94" s="59"/>
      <c r="R94" s="59"/>
      <c r="S94" s="59"/>
      <c r="T94" s="59"/>
      <c r="U94" s="59"/>
      <c r="V94" s="59"/>
      <c r="W94" s="59"/>
      <c r="X94" s="59"/>
      <c r="Y94" s="59"/>
      <c r="Z94" s="59"/>
    </row>
    <row r="95" ht="17.25" customHeight="1">
      <c r="A95" s="59"/>
      <c r="B95" s="84" t="s">
        <v>379</v>
      </c>
      <c r="C95" s="84" t="s">
        <v>383</v>
      </c>
      <c r="D95" s="85" t="s">
        <v>403</v>
      </c>
      <c r="E95" s="84"/>
      <c r="F95" s="61" t="str">
        <f t="shared" si="1"/>
        <v>Por favor diligenciar tipo de soporte funcionalidad</v>
      </c>
      <c r="G95" s="86"/>
      <c r="H95" s="86"/>
      <c r="I95" s="86"/>
      <c r="J95" s="87">
        <f t="shared" si="4"/>
        <v>0</v>
      </c>
      <c r="K95" s="59"/>
      <c r="L95" s="59"/>
      <c r="M95" s="59"/>
      <c r="N95" s="59"/>
      <c r="O95" s="59"/>
      <c r="P95" s="59"/>
      <c r="Q95" s="59"/>
      <c r="R95" s="59"/>
      <c r="S95" s="59"/>
      <c r="T95" s="59"/>
      <c r="U95" s="59"/>
      <c r="V95" s="59"/>
      <c r="W95" s="59"/>
      <c r="X95" s="59"/>
      <c r="Y95" s="59"/>
      <c r="Z95" s="59"/>
    </row>
    <row r="96" ht="17.25" customHeight="1">
      <c r="A96" s="59"/>
      <c r="B96" s="84" t="s">
        <v>379</v>
      </c>
      <c r="C96" s="84" t="s">
        <v>383</v>
      </c>
      <c r="D96" s="85" t="s">
        <v>404</v>
      </c>
      <c r="E96" s="84"/>
      <c r="F96" s="61" t="str">
        <f t="shared" si="1"/>
        <v>Por favor diligenciar tipo de soporte funcionalidad</v>
      </c>
      <c r="G96" s="86"/>
      <c r="H96" s="86"/>
      <c r="I96" s="86"/>
      <c r="J96" s="87">
        <f t="shared" si="4"/>
        <v>0</v>
      </c>
      <c r="K96" s="59"/>
      <c r="L96" s="59"/>
      <c r="M96" s="59"/>
      <c r="N96" s="59"/>
      <c r="O96" s="59"/>
      <c r="P96" s="59"/>
      <c r="Q96" s="59"/>
      <c r="R96" s="59"/>
      <c r="S96" s="59"/>
      <c r="T96" s="59"/>
      <c r="U96" s="59"/>
      <c r="V96" s="59"/>
      <c r="W96" s="59"/>
      <c r="X96" s="59"/>
      <c r="Y96" s="59"/>
      <c r="Z96" s="59"/>
    </row>
    <row r="97" ht="17.25" customHeight="1">
      <c r="A97" s="59"/>
      <c r="B97" s="84" t="s">
        <v>379</v>
      </c>
      <c r="C97" s="84" t="s">
        <v>383</v>
      </c>
      <c r="D97" s="85" t="s">
        <v>405</v>
      </c>
      <c r="E97" s="84"/>
      <c r="F97" s="61" t="str">
        <f t="shared" si="1"/>
        <v>Por favor diligenciar tipo de soporte funcionalidad</v>
      </c>
      <c r="G97" s="86"/>
      <c r="H97" s="86"/>
      <c r="I97" s="86"/>
      <c r="J97" s="87">
        <f t="shared" si="4"/>
        <v>0</v>
      </c>
      <c r="K97" s="59"/>
      <c r="L97" s="59"/>
      <c r="M97" s="59"/>
      <c r="N97" s="59"/>
      <c r="O97" s="59"/>
      <c r="P97" s="59"/>
      <c r="Q97" s="59"/>
      <c r="R97" s="59"/>
      <c r="S97" s="59"/>
      <c r="T97" s="59"/>
      <c r="U97" s="59"/>
      <c r="V97" s="59"/>
      <c r="W97" s="59"/>
      <c r="X97" s="59"/>
      <c r="Y97" s="59"/>
      <c r="Z97" s="59"/>
    </row>
    <row r="98" ht="12.75" customHeight="1">
      <c r="A98" s="59"/>
      <c r="B98" s="84" t="s">
        <v>379</v>
      </c>
      <c r="C98" s="84" t="s">
        <v>383</v>
      </c>
      <c r="D98" s="85" t="s">
        <v>406</v>
      </c>
      <c r="E98" s="84"/>
      <c r="F98" s="61" t="str">
        <f t="shared" si="1"/>
        <v>Por favor diligenciar tipo de soporte funcionalidad</v>
      </c>
      <c r="G98" s="86"/>
      <c r="H98" s="86"/>
      <c r="I98" s="86"/>
      <c r="J98" s="87">
        <f t="shared" si="4"/>
        <v>0</v>
      </c>
      <c r="K98" s="59"/>
      <c r="L98" s="59"/>
      <c r="M98" s="59"/>
      <c r="N98" s="59"/>
      <c r="O98" s="59"/>
      <c r="P98" s="59"/>
      <c r="Q98" s="59"/>
      <c r="R98" s="59"/>
      <c r="S98" s="59"/>
      <c r="T98" s="59"/>
      <c r="U98" s="59"/>
      <c r="V98" s="59"/>
      <c r="W98" s="59"/>
      <c r="X98" s="59"/>
      <c r="Y98" s="59"/>
      <c r="Z98" s="59"/>
    </row>
    <row r="99" ht="17.25" customHeight="1">
      <c r="A99" s="59"/>
      <c r="B99" s="84" t="s">
        <v>407</v>
      </c>
      <c r="C99" s="84" t="s">
        <v>408</v>
      </c>
      <c r="D99" s="85" t="s">
        <v>409</v>
      </c>
      <c r="E99" s="84"/>
      <c r="F99" s="61" t="str">
        <f t="shared" si="1"/>
        <v>Por favor diligenciar tipo de soporte funcionalidad</v>
      </c>
      <c r="G99" s="86"/>
      <c r="H99" s="86"/>
      <c r="I99" s="86"/>
      <c r="J99" s="87">
        <f t="shared" ref="J99:J108" si="5">+IF(F99=$C$54,$G$62,IF(F99=$C$55,$G$62*75%,IF(F99=$C$56,$G$62*50%,IF(F99=$C$57,$G$62*0%,0%))))</f>
        <v>0</v>
      </c>
      <c r="K99" s="59"/>
      <c r="L99" s="59"/>
      <c r="M99" s="59"/>
      <c r="N99" s="59"/>
      <c r="O99" s="59"/>
      <c r="P99" s="59"/>
      <c r="Q99" s="59"/>
      <c r="R99" s="59"/>
      <c r="S99" s="59"/>
      <c r="T99" s="59"/>
      <c r="U99" s="59"/>
      <c r="V99" s="59"/>
      <c r="W99" s="59"/>
      <c r="X99" s="59"/>
      <c r="Y99" s="59"/>
      <c r="Z99" s="59"/>
    </row>
    <row r="100" ht="12.75" customHeight="1">
      <c r="A100" s="59"/>
      <c r="B100" s="84" t="s">
        <v>407</v>
      </c>
      <c r="C100" s="84" t="s">
        <v>408</v>
      </c>
      <c r="D100" s="85" t="s">
        <v>410</v>
      </c>
      <c r="E100" s="84"/>
      <c r="F100" s="61" t="str">
        <f t="shared" si="1"/>
        <v>Por favor diligenciar tipo de soporte funcionalidad</v>
      </c>
      <c r="G100" s="86"/>
      <c r="H100" s="86"/>
      <c r="I100" s="86"/>
      <c r="J100" s="87">
        <f t="shared" si="5"/>
        <v>0</v>
      </c>
      <c r="K100" s="59"/>
      <c r="L100" s="59"/>
      <c r="M100" s="59"/>
      <c r="N100" s="59"/>
      <c r="O100" s="59"/>
      <c r="P100" s="59"/>
      <c r="Q100" s="59"/>
      <c r="R100" s="59"/>
      <c r="S100" s="59"/>
      <c r="T100" s="59"/>
      <c r="U100" s="59"/>
      <c r="V100" s="59"/>
      <c r="W100" s="59"/>
      <c r="X100" s="59"/>
      <c r="Y100" s="59"/>
      <c r="Z100" s="59"/>
    </row>
    <row r="101" ht="12.75" customHeight="1">
      <c r="A101" s="59"/>
      <c r="B101" s="84" t="s">
        <v>407</v>
      </c>
      <c r="C101" s="84" t="s">
        <v>411</v>
      </c>
      <c r="D101" s="85" t="s">
        <v>412</v>
      </c>
      <c r="E101" s="84"/>
      <c r="F101" s="61" t="str">
        <f t="shared" si="1"/>
        <v>Por favor diligenciar tipo de soporte funcionalidad</v>
      </c>
      <c r="G101" s="86"/>
      <c r="H101" s="86"/>
      <c r="I101" s="86"/>
      <c r="J101" s="87">
        <f t="shared" si="5"/>
        <v>0</v>
      </c>
      <c r="K101" s="59"/>
      <c r="L101" s="59"/>
      <c r="M101" s="59"/>
      <c r="N101" s="59"/>
      <c r="O101" s="59"/>
      <c r="P101" s="59"/>
      <c r="Q101" s="59"/>
      <c r="R101" s="59"/>
      <c r="S101" s="59"/>
      <c r="T101" s="59"/>
      <c r="U101" s="59"/>
      <c r="V101" s="59"/>
      <c r="W101" s="59"/>
      <c r="X101" s="59"/>
      <c r="Y101" s="59"/>
      <c r="Z101" s="59"/>
    </row>
    <row r="102" ht="12.75" customHeight="1">
      <c r="A102" s="59"/>
      <c r="B102" s="84" t="s">
        <v>407</v>
      </c>
      <c r="C102" s="84" t="s">
        <v>413</v>
      </c>
      <c r="D102" s="85" t="s">
        <v>414</v>
      </c>
      <c r="E102" s="84"/>
      <c r="F102" s="61" t="str">
        <f t="shared" si="1"/>
        <v>Por favor diligenciar tipo de soporte funcionalidad</v>
      </c>
      <c r="G102" s="86"/>
      <c r="H102" s="86"/>
      <c r="I102" s="86"/>
      <c r="J102" s="87">
        <f t="shared" si="5"/>
        <v>0</v>
      </c>
      <c r="K102" s="59"/>
      <c r="L102" s="59"/>
      <c r="M102" s="59"/>
      <c r="N102" s="59"/>
      <c r="O102" s="59"/>
      <c r="P102" s="59"/>
      <c r="Q102" s="59"/>
      <c r="R102" s="59"/>
      <c r="S102" s="59"/>
      <c r="T102" s="59"/>
      <c r="U102" s="59"/>
      <c r="V102" s="59"/>
      <c r="W102" s="59"/>
      <c r="X102" s="59"/>
      <c r="Y102" s="59"/>
      <c r="Z102" s="59"/>
    </row>
    <row r="103" ht="12.75" customHeight="1">
      <c r="A103" s="59"/>
      <c r="B103" s="84" t="s">
        <v>407</v>
      </c>
      <c r="C103" s="84" t="s">
        <v>415</v>
      </c>
      <c r="D103" s="85" t="s">
        <v>416</v>
      </c>
      <c r="E103" s="84"/>
      <c r="F103" s="61" t="str">
        <f t="shared" si="1"/>
        <v>Por favor diligenciar tipo de soporte funcionalidad</v>
      </c>
      <c r="G103" s="86"/>
      <c r="H103" s="86"/>
      <c r="I103" s="86"/>
      <c r="J103" s="87">
        <f t="shared" si="5"/>
        <v>0</v>
      </c>
      <c r="K103" s="59"/>
      <c r="L103" s="59"/>
      <c r="M103" s="59"/>
      <c r="N103" s="59"/>
      <c r="O103" s="59"/>
      <c r="P103" s="59"/>
      <c r="Q103" s="59"/>
      <c r="R103" s="59"/>
      <c r="S103" s="59"/>
      <c r="T103" s="59"/>
      <c r="U103" s="59"/>
      <c r="V103" s="59"/>
      <c r="W103" s="59"/>
      <c r="X103" s="59"/>
      <c r="Y103" s="59"/>
      <c r="Z103" s="59"/>
    </row>
    <row r="104" ht="12.75" customHeight="1">
      <c r="A104" s="59"/>
      <c r="B104" s="84" t="s">
        <v>407</v>
      </c>
      <c r="C104" s="84" t="s">
        <v>415</v>
      </c>
      <c r="D104" s="85" t="s">
        <v>417</v>
      </c>
      <c r="E104" s="84"/>
      <c r="F104" s="61" t="str">
        <f t="shared" si="1"/>
        <v>Por favor diligenciar tipo de soporte funcionalidad</v>
      </c>
      <c r="G104" s="86"/>
      <c r="H104" s="86"/>
      <c r="I104" s="86"/>
      <c r="J104" s="87">
        <f t="shared" si="5"/>
        <v>0</v>
      </c>
      <c r="K104" s="59"/>
      <c r="L104" s="59"/>
      <c r="M104" s="59"/>
      <c r="N104" s="59"/>
      <c r="O104" s="59"/>
      <c r="P104" s="59"/>
      <c r="Q104" s="59"/>
      <c r="R104" s="59"/>
      <c r="S104" s="59"/>
      <c r="T104" s="59"/>
      <c r="U104" s="59"/>
      <c r="V104" s="59"/>
      <c r="W104" s="59"/>
      <c r="X104" s="59"/>
      <c r="Y104" s="59"/>
      <c r="Z104" s="59"/>
    </row>
    <row r="105" ht="12.75" customHeight="1">
      <c r="A105" s="59"/>
      <c r="B105" s="84" t="s">
        <v>407</v>
      </c>
      <c r="C105" s="84" t="s">
        <v>418</v>
      </c>
      <c r="D105" s="85" t="s">
        <v>419</v>
      </c>
      <c r="E105" s="84"/>
      <c r="F105" s="61" t="str">
        <f t="shared" si="1"/>
        <v>Por favor diligenciar tipo de soporte funcionalidad</v>
      </c>
      <c r="G105" s="86"/>
      <c r="H105" s="86"/>
      <c r="I105" s="86"/>
      <c r="J105" s="87">
        <f t="shared" si="5"/>
        <v>0</v>
      </c>
      <c r="K105" s="59"/>
      <c r="L105" s="59"/>
      <c r="M105" s="59"/>
      <c r="N105" s="59"/>
      <c r="O105" s="59"/>
      <c r="P105" s="59"/>
      <c r="Q105" s="59"/>
      <c r="R105" s="59"/>
      <c r="S105" s="59"/>
      <c r="T105" s="59"/>
      <c r="U105" s="59"/>
      <c r="V105" s="59"/>
      <c r="W105" s="59"/>
      <c r="X105" s="59"/>
      <c r="Y105" s="59"/>
      <c r="Z105" s="59"/>
    </row>
    <row r="106" ht="12.75" customHeight="1">
      <c r="A106" s="59"/>
      <c r="B106" s="84" t="s">
        <v>407</v>
      </c>
      <c r="C106" s="84" t="s">
        <v>420</v>
      </c>
      <c r="D106" s="85" t="s">
        <v>421</v>
      </c>
      <c r="E106" s="84"/>
      <c r="F106" s="61" t="str">
        <f t="shared" si="1"/>
        <v>Por favor diligenciar tipo de soporte funcionalidad</v>
      </c>
      <c r="G106" s="86"/>
      <c r="H106" s="86"/>
      <c r="I106" s="86"/>
      <c r="J106" s="87">
        <f t="shared" si="5"/>
        <v>0</v>
      </c>
      <c r="K106" s="59"/>
      <c r="L106" s="59"/>
      <c r="M106" s="59"/>
      <c r="N106" s="59"/>
      <c r="O106" s="59"/>
      <c r="P106" s="59"/>
      <c r="Q106" s="59"/>
      <c r="R106" s="59"/>
      <c r="S106" s="59"/>
      <c r="T106" s="59"/>
      <c r="U106" s="59"/>
      <c r="V106" s="59"/>
      <c r="W106" s="59"/>
      <c r="X106" s="59"/>
      <c r="Y106" s="59"/>
      <c r="Z106" s="59"/>
    </row>
    <row r="107" ht="12.75" customHeight="1">
      <c r="A107" s="59"/>
      <c r="B107" s="84" t="s">
        <v>407</v>
      </c>
      <c r="C107" s="84" t="s">
        <v>420</v>
      </c>
      <c r="D107" s="85" t="s">
        <v>422</v>
      </c>
      <c r="E107" s="84"/>
      <c r="F107" s="61" t="str">
        <f t="shared" si="1"/>
        <v>Por favor diligenciar tipo de soporte funcionalidad</v>
      </c>
      <c r="G107" s="86"/>
      <c r="H107" s="86"/>
      <c r="I107" s="86"/>
      <c r="J107" s="87">
        <f t="shared" si="5"/>
        <v>0</v>
      </c>
      <c r="K107" s="59"/>
      <c r="L107" s="59"/>
      <c r="M107" s="59"/>
      <c r="N107" s="59"/>
      <c r="O107" s="59"/>
      <c r="P107" s="59"/>
      <c r="Q107" s="59"/>
      <c r="R107" s="59"/>
      <c r="S107" s="59"/>
      <c r="T107" s="59"/>
      <c r="U107" s="59"/>
      <c r="V107" s="59"/>
      <c r="W107" s="59"/>
      <c r="X107" s="59"/>
      <c r="Y107" s="59"/>
      <c r="Z107" s="59"/>
    </row>
    <row r="108" ht="12.75" customHeight="1">
      <c r="A108" s="59"/>
      <c r="B108" s="84" t="s">
        <v>407</v>
      </c>
      <c r="C108" s="84" t="s">
        <v>423</v>
      </c>
      <c r="D108" s="88" t="s">
        <v>424</v>
      </c>
      <c r="E108" s="84"/>
      <c r="F108" s="61" t="str">
        <f t="shared" si="1"/>
        <v>Por favor diligenciar tipo de soporte funcionalidad</v>
      </c>
      <c r="G108" s="86"/>
      <c r="H108" s="86"/>
      <c r="I108" s="86"/>
      <c r="J108" s="87">
        <f t="shared" si="5"/>
        <v>0</v>
      </c>
      <c r="K108" s="59"/>
      <c r="L108" s="59"/>
      <c r="M108" s="59"/>
      <c r="N108" s="59"/>
      <c r="O108" s="59"/>
      <c r="P108" s="59"/>
      <c r="Q108" s="59"/>
      <c r="R108" s="59"/>
      <c r="S108" s="59"/>
      <c r="T108" s="59"/>
      <c r="U108" s="59"/>
      <c r="V108" s="59"/>
      <c r="W108" s="59"/>
      <c r="X108" s="59"/>
      <c r="Y108" s="59"/>
      <c r="Z108" s="59"/>
    </row>
    <row r="109" ht="17.25" customHeight="1">
      <c r="A109" s="59"/>
      <c r="B109" s="84" t="s">
        <v>379</v>
      </c>
      <c r="C109" s="84" t="s">
        <v>425</v>
      </c>
      <c r="D109" s="85" t="s">
        <v>426</v>
      </c>
      <c r="E109" s="84"/>
      <c r="F109" s="61" t="str">
        <f t="shared" si="1"/>
        <v>Por favor diligenciar tipo de soporte funcionalidad</v>
      </c>
      <c r="G109" s="86"/>
      <c r="H109" s="86"/>
      <c r="I109" s="86"/>
      <c r="J109" s="87">
        <f>+IF(F109=$C$54,$G$60,IF(F109=$C$55,$G$60*75%,IF(F109=$C$56,$G$60*50%,IF(F109=$C$57,$G$60*0%,0%))))</f>
        <v>0</v>
      </c>
      <c r="K109" s="59"/>
      <c r="L109" s="59"/>
      <c r="M109" s="59"/>
      <c r="N109" s="59"/>
      <c r="O109" s="59"/>
      <c r="P109" s="59"/>
      <c r="Q109" s="59"/>
      <c r="R109" s="59"/>
      <c r="S109" s="59"/>
      <c r="T109" s="59"/>
      <c r="U109" s="59"/>
      <c r="V109" s="59"/>
      <c r="W109" s="59"/>
      <c r="X109" s="59"/>
      <c r="Y109" s="59"/>
      <c r="Z109" s="59"/>
    </row>
    <row r="110" ht="34.5" customHeight="1">
      <c r="A110" s="59"/>
      <c r="B110" s="84" t="s">
        <v>368</v>
      </c>
      <c r="C110" s="84" t="s">
        <v>368</v>
      </c>
      <c r="D110" s="85" t="s">
        <v>427</v>
      </c>
      <c r="E110" s="84"/>
      <c r="F110" s="61" t="str">
        <f t="shared" si="1"/>
        <v>Por favor diligenciar tipo de soporte funcionalidad</v>
      </c>
      <c r="G110" s="86"/>
      <c r="H110" s="86"/>
      <c r="I110" s="86"/>
      <c r="J110" s="87">
        <f t="shared" ref="J110:J111" si="6">+IF(F110=$C$54,$G$63,IF(F110=$C$55,$G$63*75%,IF(F110=$C$56,$G$63*50%,IF(F110=$C$57,$G$63*0%,0%))))</f>
        <v>0</v>
      </c>
      <c r="K110" s="59"/>
      <c r="L110" s="59"/>
      <c r="M110" s="59"/>
      <c r="N110" s="59"/>
      <c r="O110" s="59"/>
      <c r="P110" s="59"/>
      <c r="Q110" s="59"/>
      <c r="R110" s="59"/>
      <c r="S110" s="59"/>
      <c r="T110" s="59"/>
      <c r="U110" s="59"/>
      <c r="V110" s="59"/>
      <c r="W110" s="59"/>
      <c r="X110" s="59"/>
      <c r="Y110" s="59"/>
      <c r="Z110" s="59"/>
    </row>
    <row r="111" ht="12.75" customHeight="1">
      <c r="A111" s="59"/>
      <c r="B111" s="84" t="s">
        <v>368</v>
      </c>
      <c r="C111" s="84" t="s">
        <v>368</v>
      </c>
      <c r="D111" s="85" t="s">
        <v>428</v>
      </c>
      <c r="E111" s="84"/>
      <c r="F111" s="61" t="str">
        <f t="shared" si="1"/>
        <v>Por favor diligenciar tipo de soporte funcionalidad</v>
      </c>
      <c r="G111" s="86"/>
      <c r="H111" s="86"/>
      <c r="I111" s="86"/>
      <c r="J111" s="87">
        <f t="shared" si="6"/>
        <v>0</v>
      </c>
      <c r="K111" s="59"/>
      <c r="L111" s="59"/>
      <c r="M111" s="59"/>
      <c r="N111" s="59"/>
      <c r="O111" s="59"/>
      <c r="P111" s="59"/>
      <c r="Q111" s="59"/>
      <c r="R111" s="59"/>
      <c r="S111" s="59"/>
      <c r="T111" s="59"/>
      <c r="U111" s="59"/>
      <c r="V111" s="59"/>
      <c r="W111" s="59"/>
      <c r="X111" s="59"/>
      <c r="Y111" s="59"/>
      <c r="Z111" s="59"/>
    </row>
    <row r="112" ht="12.75" customHeight="1">
      <c r="A112" s="59"/>
      <c r="B112" s="84" t="s">
        <v>379</v>
      </c>
      <c r="C112" s="84" t="s">
        <v>429</v>
      </c>
      <c r="D112" s="85" t="s">
        <v>430</v>
      </c>
      <c r="E112" s="84"/>
      <c r="F112" s="61" t="str">
        <f t="shared" si="1"/>
        <v>Por favor diligenciar tipo de soporte funcionalidad</v>
      </c>
      <c r="G112" s="86"/>
      <c r="H112" s="86"/>
      <c r="I112" s="86"/>
      <c r="J112" s="87">
        <f>+IF(F112=$C$54,$G$60,IF(F112=$C$55,$G$60*75%,IF(F112=$C$56,$G$60*50%,IF(F112=$C$57,$G$60*0%,0%))))</f>
        <v>0</v>
      </c>
      <c r="K112" s="59"/>
      <c r="L112" s="59"/>
      <c r="M112" s="59"/>
      <c r="N112" s="59"/>
      <c r="O112" s="59"/>
      <c r="P112" s="59"/>
      <c r="Q112" s="59"/>
      <c r="R112" s="59"/>
      <c r="S112" s="59"/>
      <c r="T112" s="59"/>
      <c r="U112" s="59"/>
      <c r="V112" s="59"/>
      <c r="W112" s="59"/>
      <c r="X112" s="59"/>
      <c r="Y112" s="59"/>
      <c r="Z112" s="59"/>
    </row>
    <row r="113" ht="12.75" customHeight="1">
      <c r="A113" s="59"/>
      <c r="B113" s="84" t="s">
        <v>368</v>
      </c>
      <c r="C113" s="84" t="s">
        <v>431</v>
      </c>
      <c r="D113" s="85" t="s">
        <v>432</v>
      </c>
      <c r="E113" s="84"/>
      <c r="F113" s="61" t="str">
        <f t="shared" si="1"/>
        <v>Por favor diligenciar tipo de soporte funcionalidad</v>
      </c>
      <c r="G113" s="86"/>
      <c r="H113" s="86"/>
      <c r="I113" s="86"/>
      <c r="J113" s="87">
        <f t="shared" ref="J113:J114" si="7">+IF(F113=$C$54,$G$63,IF(F113=$C$55,$G$63*75%,IF(F113=$C$56,$G$63*50%,IF(F113=$C$57,$G$63*0%,0%))))</f>
        <v>0</v>
      </c>
      <c r="K113" s="59"/>
      <c r="L113" s="59"/>
      <c r="M113" s="59"/>
      <c r="N113" s="59"/>
      <c r="O113" s="59"/>
      <c r="P113" s="59"/>
      <c r="Q113" s="59"/>
      <c r="R113" s="59"/>
      <c r="S113" s="59"/>
      <c r="T113" s="59"/>
      <c r="U113" s="59"/>
      <c r="V113" s="59"/>
      <c r="W113" s="59"/>
      <c r="X113" s="59"/>
      <c r="Y113" s="59"/>
      <c r="Z113" s="59"/>
    </row>
    <row r="114" ht="12.75" customHeight="1">
      <c r="A114" s="59"/>
      <c r="B114" s="84" t="s">
        <v>368</v>
      </c>
      <c r="C114" s="84" t="s">
        <v>433</v>
      </c>
      <c r="D114" s="85" t="s">
        <v>434</v>
      </c>
      <c r="E114" s="84"/>
      <c r="F114" s="61" t="str">
        <f t="shared" si="1"/>
        <v>Por favor diligenciar tipo de soporte funcionalidad</v>
      </c>
      <c r="G114" s="86"/>
      <c r="H114" s="86"/>
      <c r="I114" s="86"/>
      <c r="J114" s="87">
        <f t="shared" si="7"/>
        <v>0</v>
      </c>
      <c r="K114" s="59"/>
      <c r="L114" s="59"/>
      <c r="M114" s="59"/>
      <c r="N114" s="59"/>
      <c r="O114" s="59"/>
      <c r="P114" s="59"/>
      <c r="Q114" s="59"/>
      <c r="R114" s="59"/>
      <c r="S114" s="59"/>
      <c r="T114" s="59"/>
      <c r="U114" s="59"/>
      <c r="V114" s="59"/>
      <c r="W114" s="59"/>
      <c r="X114" s="59"/>
      <c r="Y114" s="59"/>
      <c r="Z114" s="59"/>
    </row>
    <row r="115" ht="12.75" customHeight="1">
      <c r="A115" s="59"/>
      <c r="B115" s="84" t="s">
        <v>379</v>
      </c>
      <c r="C115" s="84" t="s">
        <v>433</v>
      </c>
      <c r="D115" s="85" t="s">
        <v>435</v>
      </c>
      <c r="E115" s="84"/>
      <c r="F115" s="61" t="str">
        <f t="shared" si="1"/>
        <v>Por favor diligenciar tipo de soporte funcionalidad</v>
      </c>
      <c r="G115" s="86"/>
      <c r="H115" s="86"/>
      <c r="I115" s="86"/>
      <c r="J115" s="87">
        <f>+IF(F115=$C$54,$G$60,IF(F115=$C$55,$G$60*75%,IF(F115=$C$56,$G$60*50%,IF(F115=$C$57,$G$60*0%,0%))))</f>
        <v>0</v>
      </c>
      <c r="K115" s="59"/>
      <c r="L115" s="59"/>
      <c r="M115" s="59"/>
      <c r="N115" s="59"/>
      <c r="O115" s="59"/>
      <c r="P115" s="59"/>
      <c r="Q115" s="59"/>
      <c r="R115" s="59"/>
      <c r="S115" s="59"/>
      <c r="T115" s="59"/>
      <c r="U115" s="59"/>
      <c r="V115" s="59"/>
      <c r="W115" s="59"/>
      <c r="X115" s="59"/>
      <c r="Y115" s="59"/>
      <c r="Z115" s="59"/>
    </row>
    <row r="116" ht="12.75" customHeight="1">
      <c r="A116" s="59"/>
      <c r="B116" s="84" t="s">
        <v>368</v>
      </c>
      <c r="C116" s="84" t="s">
        <v>436</v>
      </c>
      <c r="D116" s="85" t="s">
        <v>437</v>
      </c>
      <c r="E116" s="84"/>
      <c r="F116" s="61" t="str">
        <f t="shared" si="1"/>
        <v>Por favor diligenciar tipo de soporte funcionalidad</v>
      </c>
      <c r="G116" s="86"/>
      <c r="H116" s="86"/>
      <c r="I116" s="86"/>
      <c r="J116" s="87">
        <f t="shared" ref="J116:J119" si="8">+IF(F116=$C$54,$G$63,IF(F116=$C$55,$G$63*75%,IF(F116=$C$56,$G$63*50%,IF(F116=$C$57,$G$63*0%,0%))))</f>
        <v>0</v>
      </c>
      <c r="K116" s="59"/>
      <c r="L116" s="59"/>
      <c r="M116" s="59"/>
      <c r="N116" s="59"/>
      <c r="O116" s="59"/>
      <c r="P116" s="59"/>
      <c r="Q116" s="59"/>
      <c r="R116" s="59"/>
      <c r="S116" s="59"/>
      <c r="T116" s="59"/>
      <c r="U116" s="59"/>
      <c r="V116" s="59"/>
      <c r="W116" s="59"/>
      <c r="X116" s="59"/>
      <c r="Y116" s="59"/>
      <c r="Z116" s="59"/>
    </row>
    <row r="117" ht="15.0" customHeight="1">
      <c r="A117" s="59"/>
      <c r="B117" s="84" t="s">
        <v>368</v>
      </c>
      <c r="C117" s="84" t="s">
        <v>436</v>
      </c>
      <c r="D117" s="85" t="s">
        <v>438</v>
      </c>
      <c r="E117" s="84"/>
      <c r="F117" s="61" t="str">
        <f t="shared" si="1"/>
        <v>Por favor diligenciar tipo de soporte funcionalidad</v>
      </c>
      <c r="G117" s="86"/>
      <c r="H117" s="86"/>
      <c r="I117" s="86"/>
      <c r="J117" s="87">
        <f t="shared" si="8"/>
        <v>0</v>
      </c>
      <c r="K117" s="59"/>
      <c r="L117" s="59"/>
      <c r="M117" s="59"/>
      <c r="N117" s="59"/>
      <c r="O117" s="59"/>
      <c r="P117" s="59"/>
      <c r="Q117" s="59"/>
      <c r="R117" s="59"/>
      <c r="S117" s="59"/>
      <c r="T117" s="59"/>
      <c r="U117" s="59"/>
      <c r="V117" s="59"/>
      <c r="W117" s="59"/>
      <c r="X117" s="59"/>
      <c r="Y117" s="59"/>
      <c r="Z117" s="59"/>
    </row>
    <row r="118" ht="12.75" customHeight="1">
      <c r="A118" s="59"/>
      <c r="B118" s="84" t="s">
        <v>368</v>
      </c>
      <c r="C118" s="84" t="s">
        <v>439</v>
      </c>
      <c r="D118" s="85" t="s">
        <v>440</v>
      </c>
      <c r="E118" s="84"/>
      <c r="F118" s="61" t="str">
        <f t="shared" si="1"/>
        <v>Por favor diligenciar tipo de soporte funcionalidad</v>
      </c>
      <c r="G118" s="86"/>
      <c r="H118" s="86"/>
      <c r="I118" s="86"/>
      <c r="J118" s="87">
        <f t="shared" si="8"/>
        <v>0</v>
      </c>
      <c r="K118" s="59"/>
      <c r="L118" s="59"/>
      <c r="M118" s="59"/>
      <c r="N118" s="59"/>
      <c r="O118" s="59"/>
      <c r="P118" s="59"/>
      <c r="Q118" s="59"/>
      <c r="R118" s="59"/>
      <c r="S118" s="59"/>
      <c r="T118" s="59"/>
      <c r="U118" s="59"/>
      <c r="V118" s="59"/>
      <c r="W118" s="59"/>
      <c r="X118" s="59"/>
      <c r="Y118" s="59"/>
      <c r="Z118" s="59"/>
    </row>
    <row r="119" ht="12.75" customHeight="1">
      <c r="A119" s="59"/>
      <c r="B119" s="84" t="s">
        <v>368</v>
      </c>
      <c r="C119" s="84" t="s">
        <v>441</v>
      </c>
      <c r="D119" s="85" t="s">
        <v>442</v>
      </c>
      <c r="E119" s="84"/>
      <c r="F119" s="61" t="str">
        <f t="shared" si="1"/>
        <v>Por favor diligenciar tipo de soporte funcionalidad</v>
      </c>
      <c r="G119" s="86"/>
      <c r="H119" s="86"/>
      <c r="I119" s="86"/>
      <c r="J119" s="87">
        <f t="shared" si="8"/>
        <v>0</v>
      </c>
      <c r="K119" s="59"/>
      <c r="L119" s="59"/>
      <c r="M119" s="59"/>
      <c r="N119" s="59"/>
      <c r="O119" s="59"/>
      <c r="P119" s="59"/>
      <c r="Q119" s="59"/>
      <c r="R119" s="59"/>
      <c r="S119" s="59"/>
      <c r="T119" s="59"/>
      <c r="U119" s="59"/>
      <c r="V119" s="59"/>
      <c r="W119" s="59"/>
      <c r="X119" s="59"/>
      <c r="Y119" s="59"/>
      <c r="Z119" s="59"/>
    </row>
    <row r="120" ht="12.75" customHeight="1">
      <c r="A120" s="59"/>
      <c r="B120" s="84" t="s">
        <v>407</v>
      </c>
      <c r="C120" s="84" t="s">
        <v>443</v>
      </c>
      <c r="D120" s="85" t="s">
        <v>444</v>
      </c>
      <c r="E120" s="84"/>
      <c r="F120" s="61" t="str">
        <f t="shared" si="1"/>
        <v>Por favor diligenciar tipo de soporte funcionalidad</v>
      </c>
      <c r="G120" s="86"/>
      <c r="H120" s="86"/>
      <c r="I120" s="86"/>
      <c r="J120" s="87">
        <f t="shared" ref="J120:J121" si="9">+IF(F120=$C$54,$G$62,IF(F120=$C$55,$G$62*75%,IF(F120=$C$56,$G$62*50%,IF(F120=$C$57,$G$62*0%,0%))))</f>
        <v>0</v>
      </c>
      <c r="K120" s="59"/>
      <c r="L120" s="59"/>
      <c r="M120" s="59"/>
      <c r="N120" s="59"/>
      <c r="O120" s="59"/>
      <c r="P120" s="59"/>
      <c r="Q120" s="59"/>
      <c r="R120" s="59"/>
      <c r="S120" s="59"/>
      <c r="T120" s="59"/>
      <c r="U120" s="59"/>
      <c r="V120" s="59"/>
      <c r="W120" s="59"/>
      <c r="X120" s="59"/>
      <c r="Y120" s="59"/>
      <c r="Z120" s="59"/>
    </row>
    <row r="121" ht="12.75" customHeight="1">
      <c r="A121" s="59"/>
      <c r="B121" s="84" t="s">
        <v>407</v>
      </c>
      <c r="C121" s="84" t="s">
        <v>443</v>
      </c>
      <c r="D121" s="85" t="s">
        <v>445</v>
      </c>
      <c r="E121" s="84"/>
      <c r="F121" s="61" t="str">
        <f t="shared" si="1"/>
        <v>Por favor diligenciar tipo de soporte funcionalidad</v>
      </c>
      <c r="G121" s="86"/>
      <c r="H121" s="86"/>
      <c r="I121" s="86"/>
      <c r="J121" s="87">
        <f t="shared" si="9"/>
        <v>0</v>
      </c>
      <c r="K121" s="59"/>
      <c r="L121" s="59"/>
      <c r="M121" s="59"/>
      <c r="N121" s="59"/>
      <c r="O121" s="59"/>
      <c r="P121" s="59"/>
      <c r="Q121" s="59"/>
      <c r="R121" s="59"/>
      <c r="S121" s="59"/>
      <c r="T121" s="59"/>
      <c r="U121" s="59"/>
      <c r="V121" s="59"/>
      <c r="W121" s="59"/>
      <c r="X121" s="59"/>
      <c r="Y121" s="59"/>
      <c r="Z121" s="59"/>
    </row>
    <row r="122" ht="12.75" customHeight="1">
      <c r="A122" s="59"/>
      <c r="B122" s="84" t="s">
        <v>368</v>
      </c>
      <c r="C122" s="84" t="s">
        <v>446</v>
      </c>
      <c r="D122" s="85" t="s">
        <v>447</v>
      </c>
      <c r="E122" s="84"/>
      <c r="F122" s="61" t="str">
        <f t="shared" si="1"/>
        <v>Por favor diligenciar tipo de soporte funcionalidad</v>
      </c>
      <c r="G122" s="86"/>
      <c r="H122" s="86"/>
      <c r="I122" s="86"/>
      <c r="J122" s="87">
        <f t="shared" ref="J122:J126" si="10">+IF(F122=$C$54,$G$63,IF(F122=$C$55,$G$63*75%,IF(F122=$C$56,$G$63*50%,IF(F122=$C$57,$G$63*0%,0%))))</f>
        <v>0</v>
      </c>
      <c r="K122" s="59"/>
      <c r="L122" s="59"/>
      <c r="M122" s="59"/>
      <c r="N122" s="59"/>
      <c r="O122" s="59"/>
      <c r="P122" s="59"/>
      <c r="Q122" s="59"/>
      <c r="R122" s="59"/>
      <c r="S122" s="59"/>
      <c r="T122" s="59"/>
      <c r="U122" s="59"/>
      <c r="V122" s="59"/>
      <c r="W122" s="59"/>
      <c r="X122" s="59"/>
      <c r="Y122" s="59"/>
      <c r="Z122" s="59"/>
    </row>
    <row r="123" ht="12.75" customHeight="1">
      <c r="A123" s="59"/>
      <c r="B123" s="84" t="s">
        <v>368</v>
      </c>
      <c r="C123" s="84" t="s">
        <v>448</v>
      </c>
      <c r="D123" s="85" t="s">
        <v>449</v>
      </c>
      <c r="E123" s="84"/>
      <c r="F123" s="61" t="str">
        <f t="shared" si="1"/>
        <v>Por favor diligenciar tipo de soporte funcionalidad</v>
      </c>
      <c r="G123" s="86"/>
      <c r="H123" s="86"/>
      <c r="I123" s="86"/>
      <c r="J123" s="87">
        <f t="shared" si="10"/>
        <v>0</v>
      </c>
      <c r="K123" s="59"/>
      <c r="L123" s="59"/>
      <c r="M123" s="59"/>
      <c r="N123" s="59"/>
      <c r="O123" s="59"/>
      <c r="P123" s="59"/>
      <c r="Q123" s="59"/>
      <c r="R123" s="59"/>
      <c r="S123" s="59"/>
      <c r="T123" s="59"/>
      <c r="U123" s="59"/>
      <c r="V123" s="59"/>
      <c r="W123" s="59"/>
      <c r="X123" s="59"/>
      <c r="Y123" s="59"/>
      <c r="Z123" s="59"/>
    </row>
    <row r="124" ht="12.75" customHeight="1">
      <c r="A124" s="59"/>
      <c r="B124" s="84" t="s">
        <v>368</v>
      </c>
      <c r="C124" s="84" t="s">
        <v>450</v>
      </c>
      <c r="D124" s="85" t="s">
        <v>451</v>
      </c>
      <c r="E124" s="84"/>
      <c r="F124" s="61" t="str">
        <f t="shared" si="1"/>
        <v>Por favor diligenciar tipo de soporte funcionalidad</v>
      </c>
      <c r="G124" s="86"/>
      <c r="H124" s="86"/>
      <c r="I124" s="86"/>
      <c r="J124" s="87">
        <f t="shared" si="10"/>
        <v>0</v>
      </c>
      <c r="K124" s="59"/>
      <c r="L124" s="59"/>
      <c r="M124" s="59"/>
      <c r="N124" s="59"/>
      <c r="O124" s="59"/>
      <c r="P124" s="59"/>
      <c r="Q124" s="59"/>
      <c r="R124" s="59"/>
      <c r="S124" s="59"/>
      <c r="T124" s="59"/>
      <c r="U124" s="59"/>
      <c r="V124" s="59"/>
      <c r="W124" s="59"/>
      <c r="X124" s="59"/>
      <c r="Y124" s="59"/>
      <c r="Z124" s="59"/>
    </row>
    <row r="125" ht="12.75" customHeight="1">
      <c r="A125" s="59"/>
      <c r="B125" s="84" t="s">
        <v>368</v>
      </c>
      <c r="C125" s="84" t="s">
        <v>452</v>
      </c>
      <c r="D125" s="85" t="s">
        <v>453</v>
      </c>
      <c r="E125" s="84"/>
      <c r="F125" s="61" t="str">
        <f t="shared" si="1"/>
        <v>Por favor diligenciar tipo de soporte funcionalidad</v>
      </c>
      <c r="G125" s="86"/>
      <c r="H125" s="86"/>
      <c r="I125" s="86"/>
      <c r="J125" s="87">
        <f t="shared" si="10"/>
        <v>0</v>
      </c>
      <c r="K125" s="59"/>
      <c r="L125" s="59"/>
      <c r="M125" s="59"/>
      <c r="N125" s="59"/>
      <c r="O125" s="59"/>
      <c r="P125" s="59"/>
      <c r="Q125" s="59"/>
      <c r="R125" s="59"/>
      <c r="S125" s="59"/>
      <c r="T125" s="59"/>
      <c r="U125" s="59"/>
      <c r="V125" s="59"/>
      <c r="W125" s="59"/>
      <c r="X125" s="59"/>
      <c r="Y125" s="59"/>
      <c r="Z125" s="59"/>
    </row>
    <row r="126" ht="12.75" customHeight="1">
      <c r="A126" s="59"/>
      <c r="B126" s="84" t="s">
        <v>368</v>
      </c>
      <c r="C126" s="84" t="s">
        <v>454</v>
      </c>
      <c r="D126" s="85" t="s">
        <v>455</v>
      </c>
      <c r="E126" s="84"/>
      <c r="F126" s="61" t="str">
        <f t="shared" si="1"/>
        <v>Por favor diligenciar tipo de soporte funcionalidad</v>
      </c>
      <c r="G126" s="86"/>
      <c r="H126" s="86"/>
      <c r="I126" s="86"/>
      <c r="J126" s="87">
        <f t="shared" si="10"/>
        <v>0</v>
      </c>
      <c r="K126" s="59"/>
      <c r="L126" s="59"/>
      <c r="M126" s="59"/>
      <c r="N126" s="59"/>
      <c r="O126" s="59"/>
      <c r="P126" s="59"/>
      <c r="Q126" s="59"/>
      <c r="R126" s="59"/>
      <c r="S126" s="59"/>
      <c r="T126" s="59"/>
      <c r="U126" s="59"/>
      <c r="V126" s="59"/>
      <c r="W126" s="59"/>
      <c r="X126" s="59"/>
      <c r="Y126" s="59"/>
      <c r="Z126" s="59"/>
    </row>
    <row r="127" ht="12.75" customHeight="1">
      <c r="A127" s="59"/>
      <c r="B127" s="84" t="s">
        <v>456</v>
      </c>
      <c r="C127" s="84" t="s">
        <v>457</v>
      </c>
      <c r="D127" s="85" t="s">
        <v>458</v>
      </c>
      <c r="E127" s="84"/>
      <c r="F127" s="61" t="str">
        <f t="shared" si="1"/>
        <v>Por favor diligenciar tipo de soporte funcionalidad</v>
      </c>
      <c r="G127" s="86"/>
      <c r="H127" s="86"/>
      <c r="I127" s="86"/>
      <c r="J127" s="87">
        <f>+IF(F127=$C$54,$G$64,IF(F127=$C$55,$G$64*75%,IF(F127=$C$56,$G$64*50%,IF(F127=$C$57,$G$64*0%,0%))))</f>
        <v>0</v>
      </c>
      <c r="K127" s="59"/>
      <c r="L127" s="59"/>
      <c r="M127" s="59"/>
      <c r="N127" s="59"/>
      <c r="O127" s="59"/>
      <c r="P127" s="59"/>
      <c r="Q127" s="59"/>
      <c r="R127" s="59"/>
      <c r="S127" s="59"/>
      <c r="T127" s="59"/>
      <c r="U127" s="59"/>
      <c r="V127" s="59"/>
      <c r="W127" s="59"/>
      <c r="X127" s="59"/>
      <c r="Y127" s="59"/>
      <c r="Z127" s="59"/>
    </row>
    <row r="128" ht="12.75" customHeight="1">
      <c r="A128" s="59"/>
      <c r="B128" s="84" t="s">
        <v>368</v>
      </c>
      <c r="C128" s="84" t="s">
        <v>459</v>
      </c>
      <c r="D128" s="85" t="s">
        <v>460</v>
      </c>
      <c r="E128" s="84"/>
      <c r="F128" s="61" t="str">
        <f t="shared" si="1"/>
        <v>Por favor diligenciar tipo de soporte funcionalidad</v>
      </c>
      <c r="G128" s="86"/>
      <c r="H128" s="86"/>
      <c r="I128" s="86"/>
      <c r="J128" s="87">
        <f t="shared" ref="J128:J129" si="11">+IF(F128=$C$54,$G$63,IF(F128=$C$55,$G$63*75%,IF(F128=$C$56,$G$63*50%,IF(F128=$C$57,$G$63*0%,0%))))</f>
        <v>0</v>
      </c>
      <c r="K128" s="59"/>
      <c r="L128" s="59"/>
      <c r="M128" s="59"/>
      <c r="N128" s="59"/>
      <c r="O128" s="59"/>
      <c r="P128" s="59"/>
      <c r="Q128" s="59"/>
      <c r="R128" s="59"/>
      <c r="S128" s="59"/>
      <c r="T128" s="59"/>
      <c r="U128" s="59"/>
      <c r="V128" s="59"/>
      <c r="W128" s="59"/>
      <c r="X128" s="59"/>
      <c r="Y128" s="59"/>
      <c r="Z128" s="59"/>
    </row>
    <row r="129" ht="12.75" customHeight="1">
      <c r="A129" s="59"/>
      <c r="B129" s="84" t="s">
        <v>368</v>
      </c>
      <c r="C129" s="84" t="s">
        <v>461</v>
      </c>
      <c r="D129" s="85" t="s">
        <v>462</v>
      </c>
      <c r="E129" s="84"/>
      <c r="F129" s="61" t="str">
        <f t="shared" si="1"/>
        <v>Por favor diligenciar tipo de soporte funcionalidad</v>
      </c>
      <c r="G129" s="86"/>
      <c r="H129" s="86"/>
      <c r="I129" s="86"/>
      <c r="J129" s="87">
        <f t="shared" si="11"/>
        <v>0</v>
      </c>
      <c r="K129" s="59"/>
      <c r="L129" s="59"/>
      <c r="M129" s="59"/>
      <c r="N129" s="59"/>
      <c r="O129" s="59"/>
      <c r="P129" s="59"/>
      <c r="Q129" s="59"/>
      <c r="R129" s="59"/>
      <c r="S129" s="59"/>
      <c r="T129" s="59"/>
      <c r="U129" s="59"/>
      <c r="V129" s="59"/>
      <c r="W129" s="59"/>
      <c r="X129" s="59"/>
      <c r="Y129" s="59"/>
      <c r="Z129" s="59"/>
    </row>
    <row r="130" ht="12.75" customHeight="1">
      <c r="A130" s="59"/>
      <c r="B130" s="84" t="s">
        <v>370</v>
      </c>
      <c r="C130" s="84" t="s">
        <v>463</v>
      </c>
      <c r="D130" s="85" t="s">
        <v>464</v>
      </c>
      <c r="E130" s="84"/>
      <c r="F130" s="61" t="str">
        <f t="shared" si="1"/>
        <v>Por favor diligenciar tipo de soporte funcionalidad</v>
      </c>
      <c r="G130" s="86"/>
      <c r="H130" s="86"/>
      <c r="I130" s="86"/>
      <c r="J130" s="87">
        <f t="shared" ref="J130:J160" si="12">+IF(F130=$C$54,$G$65,IF(F130=$C$55,$G$65*75%,IF(F130=$C$56,$G$65*50%,IF(F130=$C$57,$G$65*0%,0%))))</f>
        <v>0</v>
      </c>
      <c r="K130" s="59"/>
      <c r="L130" s="59"/>
      <c r="M130" s="59"/>
      <c r="N130" s="59"/>
      <c r="O130" s="59"/>
      <c r="P130" s="59"/>
      <c r="Q130" s="59"/>
      <c r="R130" s="59"/>
      <c r="S130" s="59"/>
      <c r="T130" s="59"/>
      <c r="U130" s="59"/>
      <c r="V130" s="59"/>
      <c r="W130" s="59"/>
      <c r="X130" s="59"/>
      <c r="Y130" s="59"/>
      <c r="Z130" s="59"/>
    </row>
    <row r="131" ht="12.75" customHeight="1">
      <c r="A131" s="59"/>
      <c r="B131" s="84" t="s">
        <v>370</v>
      </c>
      <c r="C131" s="84" t="s">
        <v>465</v>
      </c>
      <c r="D131" s="85" t="s">
        <v>466</v>
      </c>
      <c r="E131" s="84"/>
      <c r="F131" s="61" t="str">
        <f t="shared" si="1"/>
        <v>Por favor diligenciar tipo de soporte funcionalidad</v>
      </c>
      <c r="G131" s="86"/>
      <c r="H131" s="86"/>
      <c r="I131" s="86"/>
      <c r="J131" s="87">
        <f t="shared" si="12"/>
        <v>0</v>
      </c>
      <c r="K131" s="59"/>
      <c r="L131" s="59"/>
      <c r="M131" s="59"/>
      <c r="N131" s="59"/>
      <c r="O131" s="59"/>
      <c r="P131" s="59"/>
      <c r="Q131" s="59"/>
      <c r="R131" s="59"/>
      <c r="S131" s="59"/>
      <c r="T131" s="59"/>
      <c r="U131" s="59"/>
      <c r="V131" s="59"/>
      <c r="W131" s="59"/>
      <c r="X131" s="59"/>
      <c r="Y131" s="59"/>
      <c r="Z131" s="59"/>
    </row>
    <row r="132" ht="12.75" customHeight="1">
      <c r="A132" s="59"/>
      <c r="B132" s="84" t="s">
        <v>370</v>
      </c>
      <c r="C132" s="84" t="s">
        <v>467</v>
      </c>
      <c r="D132" s="89" t="s">
        <v>468</v>
      </c>
      <c r="E132" s="84"/>
      <c r="F132" s="61" t="str">
        <f t="shared" si="1"/>
        <v>Por favor diligenciar tipo de soporte funcionalidad</v>
      </c>
      <c r="G132" s="86"/>
      <c r="H132" s="86"/>
      <c r="I132" s="86"/>
      <c r="J132" s="87">
        <f t="shared" si="12"/>
        <v>0</v>
      </c>
      <c r="K132" s="59"/>
      <c r="L132" s="59"/>
      <c r="M132" s="59"/>
      <c r="N132" s="59"/>
      <c r="O132" s="59"/>
      <c r="P132" s="59"/>
      <c r="Q132" s="59"/>
      <c r="R132" s="59"/>
      <c r="S132" s="59"/>
      <c r="T132" s="59"/>
      <c r="U132" s="59"/>
      <c r="V132" s="59"/>
      <c r="W132" s="59"/>
      <c r="X132" s="59"/>
      <c r="Y132" s="59"/>
      <c r="Z132" s="59"/>
    </row>
    <row r="133" ht="12.75" customHeight="1">
      <c r="A133" s="59"/>
      <c r="B133" s="84" t="s">
        <v>370</v>
      </c>
      <c r="C133" s="84" t="s">
        <v>467</v>
      </c>
      <c r="D133" s="89" t="s">
        <v>469</v>
      </c>
      <c r="E133" s="84"/>
      <c r="F133" s="61" t="str">
        <f t="shared" si="1"/>
        <v>Por favor diligenciar tipo de soporte funcionalidad</v>
      </c>
      <c r="G133" s="86"/>
      <c r="H133" s="86"/>
      <c r="I133" s="86"/>
      <c r="J133" s="87">
        <f t="shared" si="12"/>
        <v>0</v>
      </c>
      <c r="K133" s="59"/>
      <c r="L133" s="59"/>
      <c r="M133" s="59"/>
      <c r="N133" s="59"/>
      <c r="O133" s="59"/>
      <c r="P133" s="59"/>
      <c r="Q133" s="59"/>
      <c r="R133" s="59"/>
      <c r="S133" s="59"/>
      <c r="T133" s="59"/>
      <c r="U133" s="59"/>
      <c r="V133" s="59"/>
      <c r="W133" s="59"/>
      <c r="X133" s="59"/>
      <c r="Y133" s="59"/>
      <c r="Z133" s="59"/>
    </row>
    <row r="134" ht="12.75" customHeight="1">
      <c r="A134" s="59"/>
      <c r="B134" s="84" t="s">
        <v>370</v>
      </c>
      <c r="C134" s="84" t="s">
        <v>467</v>
      </c>
      <c r="D134" s="89" t="s">
        <v>470</v>
      </c>
      <c r="E134" s="84"/>
      <c r="F134" s="61" t="str">
        <f t="shared" si="1"/>
        <v>Por favor diligenciar tipo de soporte funcionalidad</v>
      </c>
      <c r="G134" s="86"/>
      <c r="H134" s="86"/>
      <c r="I134" s="86"/>
      <c r="J134" s="87">
        <f t="shared" si="12"/>
        <v>0</v>
      </c>
      <c r="K134" s="59"/>
      <c r="L134" s="59"/>
      <c r="M134" s="59"/>
      <c r="N134" s="59"/>
      <c r="O134" s="59"/>
      <c r="P134" s="59"/>
      <c r="Q134" s="59"/>
      <c r="R134" s="59"/>
      <c r="S134" s="59"/>
      <c r="T134" s="59"/>
      <c r="U134" s="59"/>
      <c r="V134" s="59"/>
      <c r="W134" s="59"/>
      <c r="X134" s="59"/>
      <c r="Y134" s="59"/>
      <c r="Z134" s="59"/>
    </row>
    <row r="135" ht="12.75" customHeight="1">
      <c r="A135" s="59"/>
      <c r="B135" s="84" t="s">
        <v>370</v>
      </c>
      <c r="C135" s="84" t="s">
        <v>467</v>
      </c>
      <c r="D135" s="89" t="s">
        <v>471</v>
      </c>
      <c r="E135" s="84"/>
      <c r="F135" s="61" t="str">
        <f t="shared" si="1"/>
        <v>Por favor diligenciar tipo de soporte funcionalidad</v>
      </c>
      <c r="G135" s="86"/>
      <c r="H135" s="86"/>
      <c r="I135" s="86"/>
      <c r="J135" s="87">
        <f t="shared" si="12"/>
        <v>0</v>
      </c>
      <c r="K135" s="59"/>
      <c r="L135" s="59"/>
      <c r="M135" s="59"/>
      <c r="N135" s="59"/>
      <c r="O135" s="59"/>
      <c r="P135" s="59"/>
      <c r="Q135" s="59"/>
      <c r="R135" s="59"/>
      <c r="S135" s="59"/>
      <c r="T135" s="59"/>
      <c r="U135" s="59"/>
      <c r="V135" s="59"/>
      <c r="W135" s="59"/>
      <c r="X135" s="59"/>
      <c r="Y135" s="59"/>
      <c r="Z135" s="59"/>
    </row>
    <row r="136" ht="12.75" customHeight="1">
      <c r="A136" s="59"/>
      <c r="B136" s="84" t="s">
        <v>370</v>
      </c>
      <c r="C136" s="84" t="s">
        <v>467</v>
      </c>
      <c r="D136" s="90" t="s">
        <v>472</v>
      </c>
      <c r="E136" s="84"/>
      <c r="F136" s="61" t="str">
        <f t="shared" si="1"/>
        <v>Por favor diligenciar tipo de soporte funcionalidad</v>
      </c>
      <c r="G136" s="86"/>
      <c r="H136" s="86"/>
      <c r="I136" s="86"/>
      <c r="J136" s="87">
        <f t="shared" si="12"/>
        <v>0</v>
      </c>
      <c r="K136" s="59"/>
      <c r="L136" s="59"/>
      <c r="M136" s="59"/>
      <c r="N136" s="59"/>
      <c r="O136" s="59"/>
      <c r="P136" s="59"/>
      <c r="Q136" s="59"/>
      <c r="R136" s="59"/>
      <c r="S136" s="59"/>
      <c r="T136" s="59"/>
      <c r="U136" s="59"/>
      <c r="V136" s="59"/>
      <c r="W136" s="59"/>
      <c r="X136" s="59"/>
      <c r="Y136" s="59"/>
      <c r="Z136" s="59"/>
    </row>
    <row r="137" ht="12.75" customHeight="1">
      <c r="A137" s="59"/>
      <c r="B137" s="84" t="s">
        <v>370</v>
      </c>
      <c r="C137" s="84" t="s">
        <v>467</v>
      </c>
      <c r="D137" s="89" t="s">
        <v>473</v>
      </c>
      <c r="E137" s="84"/>
      <c r="F137" s="61" t="str">
        <f t="shared" si="1"/>
        <v>Por favor diligenciar tipo de soporte funcionalidad</v>
      </c>
      <c r="G137" s="86"/>
      <c r="H137" s="86"/>
      <c r="I137" s="86"/>
      <c r="J137" s="87">
        <f t="shared" si="12"/>
        <v>0</v>
      </c>
      <c r="K137" s="59"/>
      <c r="L137" s="59"/>
      <c r="M137" s="59"/>
      <c r="N137" s="59"/>
      <c r="O137" s="59"/>
      <c r="P137" s="59"/>
      <c r="Q137" s="59"/>
      <c r="R137" s="59"/>
      <c r="S137" s="59"/>
      <c r="T137" s="59"/>
      <c r="U137" s="59"/>
      <c r="V137" s="59"/>
      <c r="W137" s="59"/>
      <c r="X137" s="59"/>
      <c r="Y137" s="59"/>
      <c r="Z137" s="59"/>
    </row>
    <row r="138" ht="12.75" customHeight="1">
      <c r="A138" s="59"/>
      <c r="B138" s="84" t="s">
        <v>370</v>
      </c>
      <c r="C138" s="84" t="s">
        <v>467</v>
      </c>
      <c r="D138" s="89" t="s">
        <v>474</v>
      </c>
      <c r="E138" s="84"/>
      <c r="F138" s="61" t="str">
        <f t="shared" si="1"/>
        <v>Por favor diligenciar tipo de soporte funcionalidad</v>
      </c>
      <c r="G138" s="86"/>
      <c r="H138" s="86"/>
      <c r="I138" s="86"/>
      <c r="J138" s="87">
        <f t="shared" si="12"/>
        <v>0</v>
      </c>
      <c r="K138" s="59"/>
      <c r="L138" s="59"/>
      <c r="M138" s="59"/>
      <c r="N138" s="59"/>
      <c r="O138" s="59"/>
      <c r="P138" s="59"/>
      <c r="Q138" s="59"/>
      <c r="R138" s="59"/>
      <c r="S138" s="59"/>
      <c r="T138" s="59"/>
      <c r="U138" s="59"/>
      <c r="V138" s="59"/>
      <c r="W138" s="59"/>
      <c r="X138" s="59"/>
      <c r="Y138" s="59"/>
      <c r="Z138" s="59"/>
    </row>
    <row r="139" ht="12.75" customHeight="1">
      <c r="A139" s="59"/>
      <c r="B139" s="84" t="s">
        <v>370</v>
      </c>
      <c r="C139" s="84" t="s">
        <v>467</v>
      </c>
      <c r="D139" s="90" t="s">
        <v>475</v>
      </c>
      <c r="E139" s="84"/>
      <c r="F139" s="61" t="str">
        <f t="shared" si="1"/>
        <v>Por favor diligenciar tipo de soporte funcionalidad</v>
      </c>
      <c r="G139" s="86"/>
      <c r="H139" s="86"/>
      <c r="I139" s="86"/>
      <c r="J139" s="87">
        <f t="shared" si="12"/>
        <v>0</v>
      </c>
      <c r="K139" s="59"/>
      <c r="L139" s="59"/>
      <c r="M139" s="59"/>
      <c r="N139" s="59"/>
      <c r="O139" s="59"/>
      <c r="P139" s="59"/>
      <c r="Q139" s="59"/>
      <c r="R139" s="59"/>
      <c r="S139" s="59"/>
      <c r="T139" s="59"/>
      <c r="U139" s="59"/>
      <c r="V139" s="59"/>
      <c r="W139" s="59"/>
      <c r="X139" s="59"/>
      <c r="Y139" s="59"/>
      <c r="Z139" s="59"/>
    </row>
    <row r="140" ht="12.75" customHeight="1">
      <c r="A140" s="59"/>
      <c r="B140" s="84" t="s">
        <v>370</v>
      </c>
      <c r="C140" s="84" t="s">
        <v>467</v>
      </c>
      <c r="D140" s="90" t="s">
        <v>476</v>
      </c>
      <c r="E140" s="84"/>
      <c r="F140" s="61" t="str">
        <f t="shared" si="1"/>
        <v>Por favor diligenciar tipo de soporte funcionalidad</v>
      </c>
      <c r="G140" s="86"/>
      <c r="H140" s="86"/>
      <c r="I140" s="86"/>
      <c r="J140" s="87">
        <f t="shared" si="12"/>
        <v>0</v>
      </c>
      <c r="K140" s="59"/>
      <c r="L140" s="59"/>
      <c r="M140" s="59"/>
      <c r="N140" s="59"/>
      <c r="O140" s="59"/>
      <c r="P140" s="59"/>
      <c r="Q140" s="59"/>
      <c r="R140" s="59"/>
      <c r="S140" s="59"/>
      <c r="T140" s="59"/>
      <c r="U140" s="59"/>
      <c r="V140" s="59"/>
      <c r="W140" s="59"/>
      <c r="X140" s="59"/>
      <c r="Y140" s="59"/>
      <c r="Z140" s="59"/>
    </row>
    <row r="141" ht="12.75" customHeight="1">
      <c r="A141" s="59"/>
      <c r="B141" s="84" t="s">
        <v>370</v>
      </c>
      <c r="C141" s="84" t="s">
        <v>467</v>
      </c>
      <c r="D141" s="90" t="s">
        <v>477</v>
      </c>
      <c r="E141" s="84"/>
      <c r="F141" s="61" t="str">
        <f t="shared" si="1"/>
        <v>Por favor diligenciar tipo de soporte funcionalidad</v>
      </c>
      <c r="G141" s="86"/>
      <c r="H141" s="86"/>
      <c r="I141" s="86"/>
      <c r="J141" s="87">
        <f t="shared" si="12"/>
        <v>0</v>
      </c>
      <c r="K141" s="59"/>
      <c r="L141" s="59"/>
      <c r="M141" s="59"/>
      <c r="N141" s="59"/>
      <c r="O141" s="59"/>
      <c r="P141" s="59"/>
      <c r="Q141" s="59"/>
      <c r="R141" s="59"/>
      <c r="S141" s="59"/>
      <c r="T141" s="59"/>
      <c r="U141" s="59"/>
      <c r="V141" s="59"/>
      <c r="W141" s="59"/>
      <c r="X141" s="59"/>
      <c r="Y141" s="59"/>
      <c r="Z141" s="59"/>
    </row>
    <row r="142" ht="12.75" customHeight="1">
      <c r="A142" s="59"/>
      <c r="B142" s="84" t="s">
        <v>370</v>
      </c>
      <c r="C142" s="84" t="s">
        <v>467</v>
      </c>
      <c r="D142" s="90" t="s">
        <v>478</v>
      </c>
      <c r="E142" s="84"/>
      <c r="F142" s="61" t="str">
        <f t="shared" si="1"/>
        <v>Por favor diligenciar tipo de soporte funcionalidad</v>
      </c>
      <c r="G142" s="86"/>
      <c r="H142" s="86"/>
      <c r="I142" s="86"/>
      <c r="J142" s="87">
        <f t="shared" si="12"/>
        <v>0</v>
      </c>
      <c r="K142" s="59"/>
      <c r="L142" s="59"/>
      <c r="M142" s="59"/>
      <c r="N142" s="59"/>
      <c r="O142" s="59"/>
      <c r="P142" s="59"/>
      <c r="Q142" s="59"/>
      <c r="R142" s="59"/>
      <c r="S142" s="59"/>
      <c r="T142" s="59"/>
      <c r="U142" s="59"/>
      <c r="V142" s="59"/>
      <c r="W142" s="59"/>
      <c r="X142" s="59"/>
      <c r="Y142" s="59"/>
      <c r="Z142" s="59"/>
    </row>
    <row r="143" ht="12.75" customHeight="1">
      <c r="A143" s="59"/>
      <c r="B143" s="84" t="s">
        <v>370</v>
      </c>
      <c r="C143" s="84" t="s">
        <v>467</v>
      </c>
      <c r="D143" s="89" t="s">
        <v>479</v>
      </c>
      <c r="E143" s="84"/>
      <c r="F143" s="61" t="str">
        <f t="shared" si="1"/>
        <v>Por favor diligenciar tipo de soporte funcionalidad</v>
      </c>
      <c r="G143" s="86"/>
      <c r="H143" s="86"/>
      <c r="I143" s="86"/>
      <c r="J143" s="87">
        <f t="shared" si="12"/>
        <v>0</v>
      </c>
      <c r="K143" s="59"/>
      <c r="L143" s="59"/>
      <c r="M143" s="59"/>
      <c r="N143" s="59"/>
      <c r="O143" s="59"/>
      <c r="P143" s="59"/>
      <c r="Q143" s="59"/>
      <c r="R143" s="59"/>
      <c r="S143" s="59"/>
      <c r="T143" s="59"/>
      <c r="U143" s="59"/>
      <c r="V143" s="59"/>
      <c r="W143" s="59"/>
      <c r="X143" s="59"/>
      <c r="Y143" s="59"/>
      <c r="Z143" s="59"/>
    </row>
    <row r="144" ht="183.0" customHeight="1">
      <c r="A144" s="59"/>
      <c r="B144" s="84" t="s">
        <v>370</v>
      </c>
      <c r="C144" s="84" t="s">
        <v>467</v>
      </c>
      <c r="D144" s="85" t="s">
        <v>480</v>
      </c>
      <c r="E144" s="84"/>
      <c r="F144" s="61" t="str">
        <f t="shared" si="1"/>
        <v>Por favor diligenciar tipo de soporte funcionalidad</v>
      </c>
      <c r="G144" s="86"/>
      <c r="H144" s="86"/>
      <c r="I144" s="86"/>
      <c r="J144" s="87">
        <f t="shared" si="12"/>
        <v>0</v>
      </c>
      <c r="K144" s="59"/>
      <c r="L144" s="59"/>
      <c r="M144" s="59"/>
      <c r="N144" s="59"/>
      <c r="O144" s="59"/>
      <c r="P144" s="59"/>
      <c r="Q144" s="59"/>
      <c r="R144" s="59"/>
      <c r="S144" s="59"/>
      <c r="T144" s="59"/>
      <c r="U144" s="59"/>
      <c r="V144" s="59"/>
      <c r="W144" s="59"/>
      <c r="X144" s="59"/>
      <c r="Y144" s="59"/>
      <c r="Z144" s="59"/>
    </row>
    <row r="145" ht="12.75" customHeight="1">
      <c r="A145" s="59"/>
      <c r="B145" s="84" t="s">
        <v>370</v>
      </c>
      <c r="C145" s="91" t="s">
        <v>481</v>
      </c>
      <c r="D145" s="92" t="s">
        <v>482</v>
      </c>
      <c r="E145" s="84"/>
      <c r="F145" s="61" t="str">
        <f t="shared" si="1"/>
        <v>Por favor diligenciar tipo de soporte funcionalidad</v>
      </c>
      <c r="G145" s="86"/>
      <c r="H145" s="86"/>
      <c r="I145" s="86"/>
      <c r="J145" s="87">
        <f t="shared" si="12"/>
        <v>0</v>
      </c>
      <c r="K145" s="59"/>
      <c r="L145" s="59"/>
      <c r="M145" s="59"/>
      <c r="N145" s="59"/>
      <c r="O145" s="59"/>
      <c r="P145" s="59"/>
      <c r="Q145" s="59"/>
      <c r="R145" s="59"/>
      <c r="S145" s="59"/>
      <c r="T145" s="59"/>
      <c r="U145" s="59"/>
      <c r="V145" s="59"/>
      <c r="W145" s="59"/>
      <c r="X145" s="59"/>
      <c r="Y145" s="59"/>
      <c r="Z145" s="59"/>
    </row>
    <row r="146" ht="12.75" customHeight="1">
      <c r="A146" s="59"/>
      <c r="B146" s="84" t="s">
        <v>370</v>
      </c>
      <c r="C146" s="91" t="s">
        <v>481</v>
      </c>
      <c r="D146" s="92" t="s">
        <v>483</v>
      </c>
      <c r="E146" s="84"/>
      <c r="F146" s="61" t="str">
        <f t="shared" si="1"/>
        <v>Por favor diligenciar tipo de soporte funcionalidad</v>
      </c>
      <c r="G146" s="86"/>
      <c r="H146" s="86"/>
      <c r="I146" s="86"/>
      <c r="J146" s="87">
        <f t="shared" si="12"/>
        <v>0</v>
      </c>
      <c r="K146" s="59"/>
      <c r="L146" s="59"/>
      <c r="M146" s="59"/>
      <c r="N146" s="59"/>
      <c r="O146" s="59"/>
      <c r="P146" s="59"/>
      <c r="Q146" s="59"/>
      <c r="R146" s="59"/>
      <c r="S146" s="59"/>
      <c r="T146" s="59"/>
      <c r="U146" s="59"/>
      <c r="V146" s="59"/>
      <c r="W146" s="59"/>
      <c r="X146" s="59"/>
      <c r="Y146" s="59"/>
      <c r="Z146" s="59"/>
    </row>
    <row r="147" ht="12.75" customHeight="1">
      <c r="A147" s="59"/>
      <c r="B147" s="84" t="s">
        <v>370</v>
      </c>
      <c r="C147" s="91" t="s">
        <v>481</v>
      </c>
      <c r="D147" s="93" t="s">
        <v>484</v>
      </c>
      <c r="E147" s="84"/>
      <c r="F147" s="61" t="str">
        <f t="shared" si="1"/>
        <v>Por favor diligenciar tipo de soporte funcionalidad</v>
      </c>
      <c r="G147" s="86"/>
      <c r="H147" s="86"/>
      <c r="I147" s="86"/>
      <c r="J147" s="87">
        <f t="shared" si="12"/>
        <v>0</v>
      </c>
      <c r="K147" s="59"/>
      <c r="L147" s="59"/>
      <c r="M147" s="59"/>
      <c r="N147" s="59"/>
      <c r="O147" s="59"/>
      <c r="P147" s="59"/>
      <c r="Q147" s="59"/>
      <c r="R147" s="59"/>
      <c r="S147" s="59"/>
      <c r="T147" s="59"/>
      <c r="U147" s="59"/>
      <c r="V147" s="59"/>
      <c r="W147" s="59"/>
      <c r="X147" s="59"/>
      <c r="Y147" s="59"/>
      <c r="Z147" s="59"/>
    </row>
    <row r="148" ht="12.75" customHeight="1">
      <c r="A148" s="59"/>
      <c r="B148" s="84" t="s">
        <v>370</v>
      </c>
      <c r="C148" s="91" t="s">
        <v>481</v>
      </c>
      <c r="D148" s="53" t="s">
        <v>485</v>
      </c>
      <c r="E148" s="84"/>
      <c r="F148" s="61" t="str">
        <f t="shared" si="1"/>
        <v>Por favor diligenciar tipo de soporte funcionalidad</v>
      </c>
      <c r="G148" s="86"/>
      <c r="H148" s="86"/>
      <c r="I148" s="86"/>
      <c r="J148" s="87">
        <f t="shared" si="12"/>
        <v>0</v>
      </c>
      <c r="K148" s="59"/>
      <c r="L148" s="59"/>
      <c r="M148" s="59"/>
      <c r="N148" s="59"/>
      <c r="O148" s="59"/>
      <c r="P148" s="59"/>
      <c r="Q148" s="59"/>
      <c r="R148" s="59"/>
      <c r="S148" s="59"/>
      <c r="T148" s="59"/>
      <c r="U148" s="59"/>
      <c r="V148" s="59"/>
      <c r="W148" s="59"/>
      <c r="X148" s="59"/>
      <c r="Y148" s="59"/>
      <c r="Z148" s="59"/>
    </row>
    <row r="149" ht="12.75" customHeight="1">
      <c r="A149" s="59"/>
      <c r="B149" s="84" t="s">
        <v>370</v>
      </c>
      <c r="C149" s="91" t="s">
        <v>481</v>
      </c>
      <c r="D149" s="93" t="s">
        <v>486</v>
      </c>
      <c r="E149" s="84"/>
      <c r="F149" s="61" t="str">
        <f t="shared" si="1"/>
        <v>Por favor diligenciar tipo de soporte funcionalidad</v>
      </c>
      <c r="G149" s="86"/>
      <c r="H149" s="86"/>
      <c r="I149" s="86"/>
      <c r="J149" s="87">
        <f t="shared" si="12"/>
        <v>0</v>
      </c>
      <c r="K149" s="59"/>
      <c r="L149" s="59"/>
      <c r="M149" s="59"/>
      <c r="N149" s="59"/>
      <c r="O149" s="59"/>
      <c r="P149" s="59"/>
      <c r="Q149" s="59"/>
      <c r="R149" s="59"/>
      <c r="S149" s="59"/>
      <c r="T149" s="59"/>
      <c r="U149" s="59"/>
      <c r="V149" s="59"/>
      <c r="W149" s="59"/>
      <c r="X149" s="59"/>
      <c r="Y149" s="59"/>
      <c r="Z149" s="59"/>
    </row>
    <row r="150" ht="12.75" customHeight="1">
      <c r="A150" s="59"/>
      <c r="B150" s="84" t="s">
        <v>370</v>
      </c>
      <c r="C150" s="91" t="s">
        <v>487</v>
      </c>
      <c r="D150" s="93" t="s">
        <v>488</v>
      </c>
      <c r="E150" s="84"/>
      <c r="F150" s="61" t="str">
        <f t="shared" si="1"/>
        <v>Por favor diligenciar tipo de soporte funcionalidad</v>
      </c>
      <c r="G150" s="86"/>
      <c r="H150" s="86"/>
      <c r="I150" s="86"/>
      <c r="J150" s="87">
        <f t="shared" si="12"/>
        <v>0</v>
      </c>
      <c r="K150" s="59"/>
      <c r="L150" s="59"/>
      <c r="M150" s="59"/>
      <c r="N150" s="59"/>
      <c r="O150" s="59"/>
      <c r="P150" s="59"/>
      <c r="Q150" s="59"/>
      <c r="R150" s="59"/>
      <c r="S150" s="59"/>
      <c r="T150" s="59"/>
      <c r="U150" s="59"/>
      <c r="V150" s="59"/>
      <c r="W150" s="59"/>
      <c r="X150" s="59"/>
      <c r="Y150" s="59"/>
      <c r="Z150" s="59"/>
    </row>
    <row r="151" ht="12.75" customHeight="1">
      <c r="A151" s="59"/>
      <c r="B151" s="84" t="s">
        <v>370</v>
      </c>
      <c r="C151" s="91" t="s">
        <v>487</v>
      </c>
      <c r="D151" s="93" t="s">
        <v>489</v>
      </c>
      <c r="E151" s="84"/>
      <c r="F151" s="61" t="str">
        <f t="shared" si="1"/>
        <v>Por favor diligenciar tipo de soporte funcionalidad</v>
      </c>
      <c r="G151" s="86"/>
      <c r="H151" s="86"/>
      <c r="I151" s="86"/>
      <c r="J151" s="87">
        <f t="shared" si="12"/>
        <v>0</v>
      </c>
      <c r="K151" s="59"/>
      <c r="L151" s="59"/>
      <c r="M151" s="59"/>
      <c r="N151" s="59"/>
      <c r="O151" s="59"/>
      <c r="P151" s="59"/>
      <c r="Q151" s="59"/>
      <c r="R151" s="59"/>
      <c r="S151" s="59"/>
      <c r="T151" s="59"/>
      <c r="U151" s="59"/>
      <c r="V151" s="59"/>
      <c r="W151" s="59"/>
      <c r="X151" s="59"/>
      <c r="Y151" s="59"/>
      <c r="Z151" s="59"/>
    </row>
    <row r="152" ht="12.75" customHeight="1">
      <c r="A152" s="59"/>
      <c r="B152" s="84" t="s">
        <v>370</v>
      </c>
      <c r="C152" s="91" t="s">
        <v>487</v>
      </c>
      <c r="D152" s="93" t="s">
        <v>490</v>
      </c>
      <c r="E152" s="84"/>
      <c r="F152" s="61" t="str">
        <f t="shared" si="1"/>
        <v>Por favor diligenciar tipo de soporte funcionalidad</v>
      </c>
      <c r="G152" s="86"/>
      <c r="H152" s="86"/>
      <c r="I152" s="86"/>
      <c r="J152" s="87">
        <f t="shared" si="12"/>
        <v>0</v>
      </c>
      <c r="K152" s="59"/>
      <c r="L152" s="59"/>
      <c r="M152" s="59"/>
      <c r="N152" s="59"/>
      <c r="O152" s="59"/>
      <c r="P152" s="59"/>
      <c r="Q152" s="59"/>
      <c r="R152" s="59"/>
      <c r="S152" s="59"/>
      <c r="T152" s="59"/>
      <c r="U152" s="59"/>
      <c r="V152" s="59"/>
      <c r="W152" s="59"/>
      <c r="X152" s="59"/>
      <c r="Y152" s="59"/>
      <c r="Z152" s="59"/>
    </row>
    <row r="153" ht="12.75" customHeight="1">
      <c r="A153" s="59"/>
      <c r="B153" s="84" t="s">
        <v>370</v>
      </c>
      <c r="C153" s="91" t="s">
        <v>487</v>
      </c>
      <c r="D153" s="93" t="s">
        <v>491</v>
      </c>
      <c r="E153" s="84"/>
      <c r="F153" s="61" t="str">
        <f t="shared" si="1"/>
        <v>Por favor diligenciar tipo de soporte funcionalidad</v>
      </c>
      <c r="G153" s="86"/>
      <c r="H153" s="86"/>
      <c r="I153" s="86"/>
      <c r="J153" s="87">
        <f t="shared" si="12"/>
        <v>0</v>
      </c>
      <c r="K153" s="59"/>
      <c r="L153" s="59"/>
      <c r="M153" s="59"/>
      <c r="N153" s="59"/>
      <c r="O153" s="59"/>
      <c r="P153" s="59"/>
      <c r="Q153" s="59"/>
      <c r="R153" s="59"/>
      <c r="S153" s="59"/>
      <c r="T153" s="59"/>
      <c r="U153" s="59"/>
      <c r="V153" s="59"/>
      <c r="W153" s="59"/>
      <c r="X153" s="59"/>
      <c r="Y153" s="59"/>
      <c r="Z153" s="59"/>
    </row>
    <row r="154" ht="12.75" customHeight="1">
      <c r="A154" s="59"/>
      <c r="B154" s="84" t="s">
        <v>370</v>
      </c>
      <c r="C154" s="91" t="s">
        <v>487</v>
      </c>
      <c r="D154" s="90" t="s">
        <v>492</v>
      </c>
      <c r="E154" s="84"/>
      <c r="F154" s="61" t="str">
        <f t="shared" si="1"/>
        <v>Por favor diligenciar tipo de soporte funcionalidad</v>
      </c>
      <c r="G154" s="86"/>
      <c r="H154" s="86"/>
      <c r="I154" s="86"/>
      <c r="J154" s="87">
        <f t="shared" si="12"/>
        <v>0</v>
      </c>
      <c r="K154" s="59"/>
      <c r="L154" s="59"/>
      <c r="M154" s="59"/>
      <c r="N154" s="59"/>
      <c r="O154" s="59"/>
      <c r="P154" s="59"/>
      <c r="Q154" s="59"/>
      <c r="R154" s="59"/>
      <c r="S154" s="59"/>
      <c r="T154" s="59"/>
      <c r="U154" s="59"/>
      <c r="V154" s="59"/>
      <c r="W154" s="59"/>
      <c r="X154" s="59"/>
      <c r="Y154" s="59"/>
      <c r="Z154" s="59"/>
    </row>
    <row r="155" ht="12.75" customHeight="1">
      <c r="A155" s="59"/>
      <c r="B155" s="84" t="s">
        <v>370</v>
      </c>
      <c r="C155" s="91" t="s">
        <v>487</v>
      </c>
      <c r="D155" s="93" t="s">
        <v>493</v>
      </c>
      <c r="E155" s="84"/>
      <c r="F155" s="61" t="str">
        <f t="shared" si="1"/>
        <v>Por favor diligenciar tipo de soporte funcionalidad</v>
      </c>
      <c r="G155" s="86"/>
      <c r="H155" s="86"/>
      <c r="I155" s="86"/>
      <c r="J155" s="87">
        <f t="shared" si="12"/>
        <v>0</v>
      </c>
      <c r="K155" s="59"/>
      <c r="L155" s="59"/>
      <c r="M155" s="59"/>
      <c r="N155" s="59"/>
      <c r="O155" s="59"/>
      <c r="P155" s="59"/>
      <c r="Q155" s="59"/>
      <c r="R155" s="59"/>
      <c r="S155" s="59"/>
      <c r="T155" s="59"/>
      <c r="U155" s="59"/>
      <c r="V155" s="59"/>
      <c r="W155" s="59"/>
      <c r="X155" s="59"/>
      <c r="Y155" s="59"/>
      <c r="Z155" s="59"/>
    </row>
    <row r="156" ht="12.75" customHeight="1">
      <c r="A156" s="59"/>
      <c r="B156" s="84" t="s">
        <v>370</v>
      </c>
      <c r="C156" s="91" t="s">
        <v>487</v>
      </c>
      <c r="D156" s="93" t="s">
        <v>494</v>
      </c>
      <c r="E156" s="84"/>
      <c r="F156" s="61" t="str">
        <f t="shared" si="1"/>
        <v>Por favor diligenciar tipo de soporte funcionalidad</v>
      </c>
      <c r="G156" s="86"/>
      <c r="H156" s="86"/>
      <c r="I156" s="86"/>
      <c r="J156" s="87">
        <f t="shared" si="12"/>
        <v>0</v>
      </c>
      <c r="K156" s="59"/>
      <c r="L156" s="59"/>
      <c r="M156" s="59"/>
      <c r="N156" s="59"/>
      <c r="O156" s="59"/>
      <c r="P156" s="59"/>
      <c r="Q156" s="59"/>
      <c r="R156" s="59"/>
      <c r="S156" s="59"/>
      <c r="T156" s="59"/>
      <c r="U156" s="59"/>
      <c r="V156" s="59"/>
      <c r="W156" s="59"/>
      <c r="X156" s="59"/>
      <c r="Y156" s="59"/>
      <c r="Z156" s="59"/>
    </row>
    <row r="157" ht="12.75" customHeight="1">
      <c r="A157" s="59"/>
      <c r="B157" s="84" t="s">
        <v>370</v>
      </c>
      <c r="C157" s="91" t="s">
        <v>487</v>
      </c>
      <c r="D157" s="94" t="s">
        <v>495</v>
      </c>
      <c r="E157" s="84"/>
      <c r="F157" s="61" t="str">
        <f t="shared" si="1"/>
        <v>Por favor diligenciar tipo de soporte funcionalidad</v>
      </c>
      <c r="G157" s="86"/>
      <c r="H157" s="86"/>
      <c r="I157" s="86"/>
      <c r="J157" s="87">
        <f t="shared" si="12"/>
        <v>0</v>
      </c>
      <c r="K157" s="59"/>
      <c r="L157" s="59"/>
      <c r="M157" s="59"/>
      <c r="N157" s="59"/>
      <c r="O157" s="59"/>
      <c r="P157" s="59"/>
      <c r="Q157" s="59"/>
      <c r="R157" s="59"/>
      <c r="S157" s="59"/>
      <c r="T157" s="59"/>
      <c r="U157" s="59"/>
      <c r="V157" s="59"/>
      <c r="W157" s="59"/>
      <c r="X157" s="59"/>
      <c r="Y157" s="59"/>
      <c r="Z157" s="59"/>
    </row>
    <row r="158" ht="12.75" customHeight="1">
      <c r="A158" s="59"/>
      <c r="B158" s="84" t="s">
        <v>370</v>
      </c>
      <c r="C158" s="91" t="s">
        <v>496</v>
      </c>
      <c r="D158" s="92" t="s">
        <v>497</v>
      </c>
      <c r="E158" s="84"/>
      <c r="F158" s="61" t="str">
        <f t="shared" si="1"/>
        <v>Por favor diligenciar tipo de soporte funcionalidad</v>
      </c>
      <c r="G158" s="86"/>
      <c r="H158" s="86"/>
      <c r="I158" s="86"/>
      <c r="J158" s="87">
        <f t="shared" si="12"/>
        <v>0</v>
      </c>
      <c r="K158" s="59"/>
      <c r="L158" s="59"/>
      <c r="M158" s="59"/>
      <c r="N158" s="59"/>
      <c r="O158" s="59"/>
      <c r="P158" s="59"/>
      <c r="Q158" s="59"/>
      <c r="R158" s="59"/>
      <c r="S158" s="59"/>
      <c r="T158" s="59"/>
      <c r="U158" s="59"/>
      <c r="V158" s="59"/>
      <c r="W158" s="59"/>
      <c r="X158" s="59"/>
      <c r="Y158" s="59"/>
      <c r="Z158" s="59"/>
    </row>
    <row r="159" ht="12.75" customHeight="1">
      <c r="A159" s="59"/>
      <c r="B159" s="84" t="s">
        <v>370</v>
      </c>
      <c r="C159" s="91" t="s">
        <v>496</v>
      </c>
      <c r="D159" s="92" t="s">
        <v>498</v>
      </c>
      <c r="E159" s="84"/>
      <c r="F159" s="61" t="str">
        <f t="shared" si="1"/>
        <v>Por favor diligenciar tipo de soporte funcionalidad</v>
      </c>
      <c r="G159" s="86"/>
      <c r="H159" s="86"/>
      <c r="I159" s="86"/>
      <c r="J159" s="87">
        <f t="shared" si="12"/>
        <v>0</v>
      </c>
      <c r="K159" s="59"/>
      <c r="L159" s="59"/>
      <c r="M159" s="59"/>
      <c r="N159" s="59"/>
      <c r="O159" s="59"/>
      <c r="P159" s="59"/>
      <c r="Q159" s="59"/>
      <c r="R159" s="59"/>
      <c r="S159" s="59"/>
      <c r="T159" s="59"/>
      <c r="U159" s="59"/>
      <c r="V159" s="59"/>
      <c r="W159" s="59"/>
      <c r="X159" s="59"/>
      <c r="Y159" s="59"/>
      <c r="Z159" s="59"/>
    </row>
    <row r="160" ht="12.75" customHeight="1">
      <c r="A160" s="59"/>
      <c r="B160" s="84" t="s">
        <v>370</v>
      </c>
      <c r="C160" s="91" t="s">
        <v>496</v>
      </c>
      <c r="D160" s="92" t="s">
        <v>499</v>
      </c>
      <c r="E160" s="84"/>
      <c r="F160" s="61" t="str">
        <f t="shared" si="1"/>
        <v>Por favor diligenciar tipo de soporte funcionalidad</v>
      </c>
      <c r="G160" s="86"/>
      <c r="H160" s="86"/>
      <c r="I160" s="86"/>
      <c r="J160" s="87">
        <f t="shared" si="12"/>
        <v>0</v>
      </c>
      <c r="K160" s="59"/>
      <c r="L160" s="59"/>
      <c r="M160" s="59"/>
      <c r="N160" s="59"/>
      <c r="O160" s="59"/>
      <c r="P160" s="59"/>
      <c r="Q160" s="59"/>
      <c r="R160" s="59"/>
      <c r="S160" s="59"/>
      <c r="T160" s="59"/>
      <c r="U160" s="59"/>
      <c r="V160" s="59"/>
      <c r="W160" s="59"/>
      <c r="X160" s="59"/>
      <c r="Y160" s="59"/>
      <c r="Z160" s="59"/>
    </row>
    <row r="161" ht="12.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ht="12.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ht="12.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ht="12.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ht="12.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ht="12.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ht="12.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ht="12.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ht="12.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ht="12.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ht="12.7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ht="12.7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ht="12.7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ht="12.7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ht="12.7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ht="12.7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ht="12.7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ht="12.7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ht="12.7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ht="12.7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ht="12.7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ht="12.7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ht="12.7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ht="12.7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ht="12.7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ht="12.7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ht="12.7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ht="12.7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ht="12.75"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ht="12.75"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ht="12.75"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ht="12.75"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ht="12.75"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ht="12.75"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ht="12.75"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ht="12.75"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ht="12.75"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ht="12.75"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ht="12.75"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ht="12.75"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ht="12.75"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ht="12.75"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ht="12.75"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ht="12.75"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ht="12.75"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ht="12.75"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ht="12.75"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ht="12.75"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ht="12.75"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ht="12.75"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ht="12.75"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ht="12.75"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ht="12.75"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ht="12.75"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ht="12.7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ht="12.7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ht="12.7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ht="12.7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ht="12.7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ht="12.7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ht="12.7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ht="12.7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ht="12.7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ht="12.7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ht="12.7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ht="12.7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ht="12.7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ht="12.7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ht="12.7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ht="12.7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ht="12.7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ht="12.7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ht="12.7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ht="12.7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ht="12.7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ht="12.7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ht="12.7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ht="12.7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ht="12.75"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ht="12.7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ht="12.7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ht="12.7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ht="12.7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ht="12.7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ht="12.75"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ht="12.75"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ht="12.75"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ht="12.75"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ht="12.7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ht="12.7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ht="12.7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ht="12.7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ht="12.7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ht="12.7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ht="12.75"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ht="12.75"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ht="12.75"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ht="12.75"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ht="12.75"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ht="12.75"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ht="12.75"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ht="12.75"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ht="12.75"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ht="12.75"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ht="12.75" customHeight="1">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ht="12.75" customHeight="1">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ht="12.75" customHeight="1">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ht="12.75" customHeight="1">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ht="12.75" customHeight="1">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ht="12.75" customHeight="1">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ht="12.75" customHeight="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ht="12.75" customHeight="1">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ht="12.75"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ht="12.75"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ht="12.75" customHeight="1">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ht="12.75" customHeight="1">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ht="12.75" customHeight="1">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ht="12.75" customHeight="1">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ht="12.75" customHeight="1">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ht="12.75" customHeight="1">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ht="12.75" customHeight="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ht="12.75" customHeight="1">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ht="12.75"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ht="12.75"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ht="12.75" customHeight="1">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ht="12.75" customHeight="1">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ht="12.75" customHeight="1">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ht="12.75" customHeight="1">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ht="12.75" customHeight="1">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ht="12.75" customHeight="1">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ht="12.75" customHeight="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ht="12.75" customHeight="1">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ht="12.75"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ht="12.75"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ht="12.75"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ht="12.75"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ht="12.75"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ht="12.75"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ht="12.75"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ht="12.75"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ht="12.75"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ht="12.75"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ht="12.75"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ht="12.75"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ht="12.75"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ht="12.7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ht="12.75"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ht="12.75"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ht="12.75"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ht="12.75"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ht="12.75"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ht="12.75"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ht="12.75"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ht="12.75"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ht="12.75"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ht="12.75"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ht="12.75"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ht="12.75"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ht="12.75"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ht="12.75"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ht="12.75"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ht="12.75"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ht="12.75"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ht="12.75"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ht="12.75"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ht="12.75"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ht="12.75"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ht="12.75"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ht="12.75"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ht="12.75"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ht="12.75"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ht="12.75"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ht="12.75"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ht="12.75"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ht="12.75"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ht="12.75"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ht="12.75"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ht="12.75"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ht="12.75"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ht="12.75"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ht="12.75"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ht="12.75"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ht="12.75"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ht="12.75"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ht="12.75"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ht="12.75"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ht="12.75"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ht="12.75"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ht="12.75"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ht="12.75" customHeight="1">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ht="12.75" customHeight="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ht="12.75" customHeight="1">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ht="12.75" customHeight="1">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ht="12.75" customHeight="1">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ht="12.75" customHeight="1">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ht="12.75" customHeight="1">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ht="12.75"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ht="12.75"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ht="12.75"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ht="12.75"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ht="12.75"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ht="12.75"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ht="12.75"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ht="12.75"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ht="12.75"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ht="12.75"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ht="12.75"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ht="12.75"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ht="12.75"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ht="12.75"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ht="12.75"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ht="12.75"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ht="12.75"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ht="12.75"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ht="12.75"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ht="12.75"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ht="12.75"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ht="12.75"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ht="12.75"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ht="12.75"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ht="12.75"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ht="12.75"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ht="12.75"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ht="12.75"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ht="12.75"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ht="12.75"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ht="12.75"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ht="12.75"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ht="12.75"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ht="12.75"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ht="12.75"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ht="12.75"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ht="12.75"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ht="12.75"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ht="12.75"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ht="12.75"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ht="12.75"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ht="12.75"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ht="12.75"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ht="12.75"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ht="12.75"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ht="12.75"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ht="12.75"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ht="12.75"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ht="12.75"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ht="12.75"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ht="12.75"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ht="12.75"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ht="12.75"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ht="12.75"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ht="12.75"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ht="12.75"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ht="12.75"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ht="12.75"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ht="12.75"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ht="12.75"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ht="12.75"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ht="12.75"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ht="12.75"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ht="12.75"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ht="12.75"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ht="12.75"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ht="12.75"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ht="12.75"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ht="12.75"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ht="12.75"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ht="12.75"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ht="12.75"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ht="12.75"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ht="12.75"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ht="12.75"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ht="12.75"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ht="12.75"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ht="12.75"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ht="12.75"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ht="12.75"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ht="12.75"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ht="12.75"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ht="12.75"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ht="12.75"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ht="12.75"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ht="12.75"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ht="12.75"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ht="12.75"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ht="12.75"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ht="12.75"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ht="12.75"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ht="12.75"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ht="12.75"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ht="12.75"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ht="12.75"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ht="12.75"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ht="12.75"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ht="12.75"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ht="12.75"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ht="12.75"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ht="12.75"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ht="12.75"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ht="12.75"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ht="12.75"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ht="12.75"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ht="12.75"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ht="12.75"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ht="12.75"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ht="12.75"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ht="12.75"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ht="12.7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ht="12.75"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ht="12.75"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ht="12.75"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ht="12.75"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ht="12.75"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ht="12.75"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ht="12.75"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ht="12.75"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ht="12.75"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ht="12.75"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ht="12.75"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ht="12.75"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ht="12.75"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ht="12.75"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ht="12.75"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ht="12.75"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ht="12.75"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ht="12.75"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ht="12.75"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ht="12.75"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ht="12.75"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ht="12.75"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ht="12.75"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ht="12.75"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ht="12.75"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ht="12.75"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ht="12.75"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ht="12.75"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ht="12.75"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ht="12.75"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ht="12.75"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ht="12.75"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ht="12.75"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ht="12.75"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ht="12.75"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ht="12.75"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ht="12.75"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ht="12.75"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ht="12.75"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ht="12.75"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ht="12.75"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ht="12.75"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ht="12.75"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ht="12.75"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ht="12.75"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ht="12.75"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ht="12.75"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ht="12.75"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ht="12.75"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ht="12.75"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ht="12.75"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ht="12.75"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ht="12.75"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ht="12.75"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ht="12.75"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ht="12.75"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ht="12.75"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ht="12.75"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ht="12.75"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ht="12.75"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ht="12.75"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ht="12.75"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ht="12.75"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ht="12.75"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ht="12.75"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ht="12.75"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ht="12.75"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ht="12.75"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ht="12.75"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ht="12.75"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ht="12.75"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ht="12.75"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ht="12.75"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ht="12.75"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ht="12.75"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ht="12.75"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ht="12.75"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ht="12.75"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ht="12.75"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ht="12.75"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ht="12.75"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ht="12.75"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ht="12.75"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ht="12.75"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ht="12.75"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ht="12.75"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ht="12.75"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ht="12.75"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ht="12.75"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ht="12.75"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ht="12.75"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ht="12.75"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ht="12.75"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ht="12.75"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ht="12.75"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ht="12.75"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ht="12.75"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ht="12.75"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ht="12.75"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ht="12.75"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ht="12.75"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ht="12.75"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ht="12.75"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ht="12.75"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ht="12.75"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ht="12.75"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ht="12.75"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ht="12.75"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ht="12.75"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ht="12.75"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ht="12.75"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ht="12.75"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ht="12.75"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ht="12.75"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ht="12.75"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ht="12.75"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ht="12.75"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ht="12.75"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ht="12.75"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ht="12.75"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ht="12.75"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ht="12.75"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ht="12.75"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ht="12.75"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ht="12.75"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ht="12.75"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ht="12.75"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ht="12.75"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ht="12.75"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ht="12.75"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ht="12.75"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ht="12.75"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ht="12.75"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ht="12.75"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ht="12.75"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ht="12.75"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ht="12.75"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ht="12.75"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ht="12.75"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ht="12.75"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ht="12.75"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ht="12.75"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ht="12.75"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ht="12.75"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ht="12.75"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ht="12.75"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ht="12.75"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ht="12.75"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ht="12.75"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ht="12.75"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ht="12.75"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ht="12.75"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ht="12.75"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ht="12.75"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ht="12.75"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ht="12.75"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ht="12.75"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ht="12.75"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ht="12.7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ht="12.7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ht="12.7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ht="12.7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ht="12.7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ht="12.7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ht="12.7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ht="12.7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ht="12.7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ht="12.7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ht="12.7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ht="12.7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ht="12.7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ht="12.7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ht="12.7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ht="12.7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ht="12.7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ht="12.7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ht="12.7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ht="12.7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ht="12.7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ht="12.7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ht="12.7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ht="12.7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ht="12.7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ht="12.7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ht="12.7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ht="12.7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ht="12.7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ht="12.7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ht="12.7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ht="12.7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ht="12.7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ht="12.7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ht="12.7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ht="12.7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ht="12.7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ht="12.7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ht="12.7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ht="12.7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ht="12.7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ht="12.7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ht="12.7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ht="12.7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ht="12.7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ht="12.7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ht="12.7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ht="12.7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ht="12.7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ht="12.7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ht="12.7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ht="12.7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ht="12.7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ht="12.7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ht="12.7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ht="12.7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ht="12.7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ht="12.7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ht="12.7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ht="12.7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ht="12.7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ht="12.7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ht="12.7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ht="12.7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ht="12.7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ht="12.7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ht="12.7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ht="12.7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ht="12.7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ht="12.7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ht="12.7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ht="12.7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ht="12.7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ht="12.7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ht="12.7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ht="12.7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ht="12.7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ht="12.7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ht="12.7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ht="12.7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ht="12.7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ht="12.7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ht="12.7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ht="12.7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ht="12.7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ht="12.7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ht="12.7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ht="12.7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ht="12.7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ht="12.7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ht="12.7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ht="12.7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ht="12.7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ht="12.7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ht="12.7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ht="12.7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ht="12.7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ht="12.7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ht="12.7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ht="12.7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ht="12.7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ht="12.7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ht="12.7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ht="12.7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ht="12.7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ht="12.7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ht="12.7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ht="12.7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ht="12.7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ht="12.7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ht="12.7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ht="12.7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ht="12.7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ht="12.7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ht="12.7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ht="12.7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ht="12.7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ht="12.7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ht="12.7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ht="12.7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ht="12.7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ht="12.7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ht="12.7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ht="12.7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ht="12.7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ht="12.7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ht="12.7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ht="12.7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ht="12.7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ht="12.7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ht="12.7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ht="12.7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ht="12.7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ht="12.7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ht="12.7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ht="12.7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ht="12.7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ht="12.7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ht="12.7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ht="12.7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ht="12.7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ht="12.7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ht="12.7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ht="12.7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ht="12.7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ht="12.7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ht="12.7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ht="12.7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ht="12.7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ht="12.7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ht="12.7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ht="12.7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ht="12.7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ht="12.7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ht="12.7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ht="12.7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ht="12.7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ht="12.7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ht="12.7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ht="12.7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ht="12.7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ht="12.7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ht="12.7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ht="12.7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ht="12.7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ht="12.7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ht="12.7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ht="12.7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ht="12.7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ht="12.7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ht="12.7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ht="12.7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ht="12.7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ht="12.7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ht="12.7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ht="12.7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ht="12.7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ht="12.7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ht="12.7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ht="12.7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ht="12.7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ht="12.7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ht="12.7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ht="12.7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ht="12.7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ht="12.7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ht="12.7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ht="12.7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ht="12.7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ht="12.7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ht="12.7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ht="12.7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ht="12.7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ht="12.7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ht="12.7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ht="12.7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ht="12.7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ht="12.7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ht="12.7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ht="12.7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ht="12.7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ht="12.7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ht="12.7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ht="12.7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ht="12.7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ht="12.7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ht="12.7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ht="12.7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ht="12.7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ht="12.7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ht="12.7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ht="12.7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ht="12.7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ht="12.7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ht="12.7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ht="12.7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ht="12.7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ht="12.7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ht="12.7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ht="12.7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ht="12.7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ht="12.7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ht="12.7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ht="12.7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ht="12.7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ht="12.7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ht="12.7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ht="12.7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ht="12.7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ht="12.7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ht="12.7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ht="12.7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ht="12.7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ht="12.7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ht="12.7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ht="12.7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ht="12.7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ht="12.7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ht="12.7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ht="12.7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ht="12.7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ht="12.7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ht="12.7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ht="12.7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ht="12.7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ht="12.7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ht="12.7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ht="12.7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ht="12.7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ht="12.7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ht="12.7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ht="12.7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ht="12.7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ht="12.7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ht="12.7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ht="12.7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ht="12.7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ht="12.7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ht="12.7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ht="12.7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ht="12.7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ht="12.7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ht="12.7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ht="12.7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ht="12.7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ht="12.7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ht="12.7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ht="12.7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ht="12.7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ht="12.7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ht="12.7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ht="12.7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ht="12.7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ht="12.7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ht="12.7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ht="12.7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ht="12.7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ht="12.7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ht="12.7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ht="12.7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ht="12.7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ht="12.7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ht="12.7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ht="12.7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ht="12.7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ht="12.7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ht="12.7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ht="12.7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ht="12.7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ht="12.7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ht="12.7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ht="12.7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ht="12.7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ht="12.7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ht="12.7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ht="12.7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ht="12.7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ht="12.7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ht="12.7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ht="12.7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ht="12.7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ht="12.7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ht="12.7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ht="12.7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ht="12.7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ht="12.7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ht="12.7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ht="12.7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ht="12.7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ht="12.7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ht="12.7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ht="12.7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ht="12.7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ht="12.7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ht="12.7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ht="12.7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ht="12.7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ht="12.7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ht="12.7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ht="12.7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ht="12.7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ht="12.7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ht="12.7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ht="12.7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ht="12.7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ht="12.7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ht="12.7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ht="12.7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ht="12.7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ht="12.7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ht="12.7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ht="12.7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ht="12.7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ht="12.7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ht="12.7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ht="12.7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ht="12.7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ht="12.7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ht="12.7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ht="12.7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ht="12.7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ht="12.7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ht="12.7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ht="12.7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ht="12.7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ht="12.7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ht="12.7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ht="12.7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ht="12.7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ht="12.7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ht="12.7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ht="12.7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ht="12.7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ht="12.7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ht="12.7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ht="12.7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ht="12.7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ht="12.7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ht="12.7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ht="12.7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ht="12.7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ht="12.7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ht="12.7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ht="12.7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ht="12.7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ht="12.7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ht="12.7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ht="12.7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ht="12.7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ht="12.75"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ht="12.75"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ht="12.75"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ht="12.75"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ht="12.75"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ht="12.75"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mergeCells count="4">
    <mergeCell ref="C60:C65"/>
    <mergeCell ref="D60:D65"/>
    <mergeCell ref="B69:D69"/>
    <mergeCell ref="E69:J69"/>
  </mergeCells>
  <dataValidations>
    <dataValidation type="list" allowBlank="1" showErrorMessage="1" sqref="E71:E160">
      <formula1>$D$54:$D$57</formula1>
    </dataValidation>
  </dataValidations>
  <printOptions/>
  <pageMargins bottom="0.3937007874015748" footer="0.0" header="0.0" left="0.3937007874015748" right="0.3937007874015748" top="0.3937007874015748"/>
  <pageSetup scale="95" orientation="landscape"/>
  <headerFooter>
    <oddFooter>&amp;LTCC S.A. Confidencial&amp;C&amp;D&amp;RPágina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2026-02-02T21:05:37Z</dcterms:created>
  <dc:creator>Fernan Camilo Sanchez Restrepo</dc:creator>
</cp:coreProperties>
</file>